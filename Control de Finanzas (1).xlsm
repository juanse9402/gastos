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drawings/drawing3.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EstaPastaDeTrabalho" hidePivotFieldList="1"/>
  <mc:AlternateContent xmlns:mc="http://schemas.openxmlformats.org/markup-compatibility/2006">
    <mc:Choice Requires="x15">
      <x15ac:absPath xmlns:x15ac="http://schemas.microsoft.com/office/spreadsheetml/2010/11/ac" url="C:\Users\guill\Downloads\"/>
    </mc:Choice>
  </mc:AlternateContent>
  <bookViews>
    <workbookView xWindow="20370" yWindow="-2370" windowWidth="29040" windowHeight="15720" activeTab="1"/>
  </bookViews>
  <sheets>
    <sheet name="Instrucciones y Términos de Uso" sheetId="7" r:id="rId1"/>
    <sheet name="Control de Finanzas" sheetId="1" r:id="rId2"/>
    <sheet name="Lista de Categorías" sheetId="6" r:id="rId3"/>
    <sheet name="Movimientos" sheetId="2" state="hidden" r:id="rId4"/>
    <sheet name="Categorías" sheetId="3" state="hidden" r:id="rId5"/>
  </sheets>
  <definedNames>
    <definedName name="NativeTimeline_FECHA">#N/A</definedName>
    <definedName name="SegmentaçãodeDados_CATEGORÍA">#N/A</definedName>
    <definedName name="SegmentaçãodeDados_TIPO">#N/A</definedName>
  </definedNames>
  <calcPr calcId="162913"/>
  <pivotCaches>
    <pivotCache cacheId="12"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 i="2" l="1"/>
  <c r="E1" i="2"/>
  <c r="D1" i="2" l="1"/>
</calcChain>
</file>

<file path=xl/sharedStrings.xml><?xml version="1.0" encoding="utf-8"?>
<sst xmlns="http://schemas.openxmlformats.org/spreadsheetml/2006/main" count="52" uniqueCount="48">
  <si>
    <t>Item</t>
  </si>
  <si>
    <t>📝  Instrucciones y Términos de Uso</t>
  </si>
  <si>
    <t>Acerca de la Hoja de Cálculo</t>
  </si>
  <si>
    <t>Términos de Uso y Derechos de Autor</t>
  </si>
  <si>
    <t>Preguntas o Soporte</t>
  </si>
  <si>
    <t>¿Necesitas ayuda con tu hoja de cálculo? ¿Tienes dudas?</t>
  </si>
  <si>
    <t>Estamos aquí para ayudarte a aprovechar al máximo tu herramienta financiera. ¡No dudes en escribirnos!</t>
  </si>
  <si>
    <t xml:space="preserve"> Modificaciones</t>
  </si>
  <si>
    <r>
      <rPr>
        <sz val="11"/>
        <color theme="1"/>
        <rFont val="Aptos Narrow"/>
        <family val="2"/>
        <scheme val="minor"/>
      </rPr>
      <t>Creamos esta herramienta para que sea útil, práctica y realmente efectiva en la gestión de tus finanzas.</t>
    </r>
    <r>
      <rPr>
        <b/>
        <sz val="11"/>
        <color theme="1"/>
        <rFont val="Aptos Narrow"/>
        <family val="2"/>
        <scheme val="minor"/>
      </rPr>
      <t xml:space="preserve">
¡Puedes contar con nosotros!</t>
    </r>
  </si>
  <si>
    <r>
      <t xml:space="preserve">Para asegurar el correcto funcionamiento y soporte técnico, por favor evita modificar la estructura de la hoja de cálculo (ej.: fórmulas, pestañas ocultas o protecciones).
</t>
    </r>
    <r>
      <rPr>
        <b/>
        <sz val="11"/>
        <color theme="1"/>
        <rFont val="Aptos Narrow"/>
        <family val="2"/>
        <scheme val="minor"/>
      </rPr>
      <t xml:space="preserve">El soporte solo está disponible para versiones no modificadas, </t>
    </r>
    <r>
      <rPr>
        <sz val="11"/>
        <color theme="1"/>
        <rFont val="Aptos Narrow"/>
        <family val="2"/>
        <scheme val="minor"/>
      </rPr>
      <t>ya que los cambios pueden afectar la automatización y desactivar funciones clave.</t>
    </r>
  </si>
  <si>
    <t xml:space="preserve">   FECHA:</t>
  </si>
  <si>
    <t>DESCRIPCIÓN:</t>
  </si>
  <si>
    <t>TIPO:</t>
  </si>
  <si>
    <t>CATEGORÍA:</t>
  </si>
  <si>
    <t>MONTO:</t>
  </si>
  <si>
    <t>FECHA</t>
  </si>
  <si>
    <t>DESCRIPCIÓN</t>
  </si>
  <si>
    <t>TIPO</t>
  </si>
  <si>
    <t>CATEGORÍA</t>
  </si>
  <si>
    <t>MONTO</t>
  </si>
  <si>
    <t>Lista de Categorías</t>
  </si>
  <si>
    <t>Ingresos</t>
  </si>
  <si>
    <r>
      <rPr>
        <b/>
        <sz val="11"/>
        <color theme="1"/>
        <rFont val="Aptos Narrow"/>
        <family val="2"/>
        <scheme val="minor"/>
      </rPr>
      <t>Control de Finanzas</t>
    </r>
    <r>
      <rPr>
        <sz val="11"/>
        <color theme="1"/>
        <rFont val="Aptos Narrow"/>
        <family val="2"/>
        <scheme val="minor"/>
      </rPr>
      <t xml:space="preserve">
Administra tus finanzas de manera fácil y eficiente con gráficos interactivos e informes automatizados.
Registra ingresos, gastos y resultados en tiempo real — ayudándote a tomar decisiones financieras más inteligentes.</t>
    </r>
  </si>
  <si>
    <r>
      <t xml:space="preserve">• Esta hoja de cálculo está </t>
    </r>
    <r>
      <rPr>
        <b/>
        <sz val="11"/>
        <color theme="1"/>
        <rFont val="Aptos Narrow"/>
        <family val="2"/>
        <scheme val="minor"/>
      </rPr>
      <t>licenciada solo para uso personal</t>
    </r>
    <r>
      <rPr>
        <sz val="11"/>
        <color theme="1"/>
        <rFont val="Aptos Narrow"/>
        <family val="2"/>
        <scheme val="minor"/>
      </rPr>
      <t xml:space="preserve"> del comprador.
</t>
    </r>
    <r>
      <rPr>
        <b/>
        <sz val="11"/>
        <color theme="1"/>
        <rFont val="Aptos Narrow"/>
        <family val="2"/>
        <scheme val="minor"/>
      </rPr>
      <t>La reventa, el intercambio o cualquier uso comercial — de pago o gratuito — está estrictamente prohibido.</t>
    </r>
    <r>
      <rPr>
        <sz val="11"/>
        <color theme="1"/>
        <rFont val="Aptos Narrow"/>
        <family val="2"/>
        <scheme val="minor"/>
      </rPr>
      <t xml:space="preserve">
• La hoja de cálculo y todos los productos de </t>
    </r>
    <r>
      <rPr>
        <b/>
        <sz val="11"/>
        <color theme="1"/>
        <rFont val="Aptos Narrow"/>
        <family val="2"/>
        <scheme val="minor"/>
      </rPr>
      <t>Excel Plantilla</t>
    </r>
    <r>
      <rPr>
        <sz val="11"/>
        <color theme="1"/>
        <rFont val="Aptos Narrow"/>
        <family val="2"/>
        <scheme val="minor"/>
      </rPr>
      <t xml:space="preserve"> se venden únicamente a través de nuestro </t>
    </r>
    <r>
      <rPr>
        <b/>
        <sz val="11"/>
        <color theme="1"/>
        <rFont val="Aptos Narrow"/>
        <family val="2"/>
        <scheme val="minor"/>
      </rPr>
      <t>sitio web oficial</t>
    </r>
    <r>
      <rPr>
        <sz val="11"/>
        <color theme="1"/>
        <rFont val="Aptos Narrow"/>
        <family val="2"/>
        <scheme val="minor"/>
      </rPr>
      <t xml:space="preserve">.
</t>
    </r>
    <r>
      <rPr>
        <b/>
        <sz val="11"/>
        <color theme="1"/>
        <rFont val="Aptos Narrow"/>
        <family val="2"/>
        <scheme val="minor"/>
      </rPr>
      <t>No somos responsables</t>
    </r>
    <r>
      <rPr>
        <sz val="11"/>
        <color theme="1"/>
        <rFont val="Aptos Narrow"/>
        <family val="2"/>
        <scheme val="minor"/>
      </rPr>
      <t xml:space="preserve"> de compras realizadas en plataformas de terceros o vendedores no autorizados.
• Este producto está protegido por </t>
    </r>
    <r>
      <rPr>
        <b/>
        <sz val="11"/>
        <color theme="1"/>
        <rFont val="Aptos Narrow"/>
        <family val="2"/>
        <scheme val="minor"/>
      </rPr>
      <t>derechos de autor y leyes de propiedad intelectual</t>
    </r>
    <r>
      <rPr>
        <sz val="11"/>
        <color theme="1"/>
        <rFont val="Aptos Narrow"/>
        <family val="2"/>
        <scheme val="minor"/>
      </rPr>
      <t xml:space="preserve">.
Cualquier violación de estos términos puede resultar en </t>
    </r>
    <r>
      <rPr>
        <b/>
        <sz val="11"/>
        <color theme="1"/>
        <rFont val="Aptos Narrow"/>
        <family val="2"/>
        <scheme val="minor"/>
      </rPr>
      <t>acciones legales</t>
    </r>
    <r>
      <rPr>
        <sz val="11"/>
        <color theme="1"/>
        <rFont val="Aptos Narrow"/>
        <family val="2"/>
        <scheme val="minor"/>
      </rPr>
      <t>, incluidas multas y demandas por uso no autorizado.
• Todas las hojas de cálculo incluyen marcas digitales que nos permiten identificar al comprador original, asegurando trazabilidad en caso de uso indebido. Tu inversión respalda el esfuerzo detrás de este producto — te pedimos amablemente que respetes estos términos.</t>
    </r>
  </si>
  <si>
    <t>Soma de MONTO</t>
  </si>
  <si>
    <t>excelplantilla.soporte@gmail.com</t>
  </si>
  <si>
    <t>Etiquetas de fila</t>
  </si>
  <si>
    <t>Total general</t>
  </si>
  <si>
    <t>Bombones y Tortas</t>
  </si>
  <si>
    <t>Otros</t>
  </si>
  <si>
    <t xml:space="preserve">Surtiven </t>
  </si>
  <si>
    <t>Todo en Uno Caldas</t>
  </si>
  <si>
    <t>Sueldos</t>
  </si>
  <si>
    <t>Compras Diarias</t>
  </si>
  <si>
    <t>Banco</t>
  </si>
  <si>
    <t>Revuelteria</t>
  </si>
  <si>
    <t>Gaseosa</t>
  </si>
  <si>
    <t>Carniceria</t>
  </si>
  <si>
    <t>Arriendo</t>
  </si>
  <si>
    <t>Servicios</t>
  </si>
  <si>
    <t>Parafiscales</t>
  </si>
  <si>
    <t>Publicidad</t>
  </si>
  <si>
    <t>Transporte Papa</t>
  </si>
  <si>
    <t>Papa Casteblanco</t>
  </si>
  <si>
    <t xml:space="preserve">Ajustes Diarios </t>
  </si>
  <si>
    <t>Pramont</t>
  </si>
  <si>
    <t>Tenedores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</si>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</sst>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409]#,##0.00"/>
    <numFmt numFmtId="165" formatCode="&quot;R$&quot;\ #,##0.00"/>
    <numFmt numFmtId="166" formatCode="_-[$$-240A]\ * #,##0.00_-;\-[$$-240A]\ * #,##0.00_-;_-[$$-240A]\ * &quot;-&quot;??_-;_-@_-"/>
    <numFmt numFmtId="167" formatCode="[$$-240A]\ #,##0.00"/>
  </numFmts>
  <fonts count="11">
    <font>
      <sz val="11"/>
      <color theme="1"/>
      <name val="Aptos Narrow"/>
      <family val="2"/>
      <scheme val="minor"/>
    </font>
    <font>
      <sz val="11"/>
      <color theme="1"/>
      <name val="Arial"/>
      <family val="2"/>
    </font>
    <font>
      <b/>
      <sz val="11"/>
      <color theme="0"/>
      <name val="Arial"/>
      <family val="2"/>
    </font>
    <font>
      <b/>
      <sz val="10"/>
      <color theme="1"/>
      <name val="Arial"/>
      <family val="2"/>
    </font>
    <font>
      <b/>
      <sz val="11"/>
      <name val="Arial"/>
      <family val="2"/>
    </font>
    <font>
      <b/>
      <sz val="11"/>
      <color theme="1"/>
      <name val="Aptos Narrow"/>
      <family val="2"/>
      <scheme val="minor"/>
    </font>
    <font>
      <b/>
      <sz val="16"/>
      <color theme="1"/>
      <name val="Aptos Narrow"/>
      <family val="2"/>
      <scheme val="minor"/>
    </font>
    <font>
      <b/>
      <sz val="22"/>
      <color theme="1"/>
      <name val="Aptos Narrow"/>
      <family val="2"/>
      <scheme val="minor"/>
    </font>
    <font>
      <u/>
      <sz val="11"/>
      <color theme="10"/>
      <name val="Aptos Narrow"/>
      <family val="2"/>
      <scheme val="minor"/>
    </font>
    <font>
      <b/>
      <sz val="11"/>
      <color theme="0"/>
      <name val="Aptos Narrow"/>
      <family val="2"/>
      <scheme val="minor"/>
    </font>
    <font>
      <sz val="11"/>
      <color theme="0"/>
      <name val="Arial"/>
      <family val="2"/>
    </font>
  </fonts>
  <fills count="10">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rgb="FFB5E6A2"/>
        <bgColor indexed="64"/>
      </patternFill>
    </fill>
    <fill>
      <patternFill patternType="solid">
        <fgColor rgb="FFB5E6A2"/>
        <bgColor auto="1"/>
      </patternFill>
    </fill>
    <fill>
      <gradientFill degree="90">
        <stop position="0">
          <color theme="2" tint="-0.74901577806939912"/>
        </stop>
        <stop position="0.5">
          <color theme="2" tint="-0.89803765984069339"/>
        </stop>
        <stop position="1">
          <color theme="2" tint="-0.74901577806939912"/>
        </stop>
      </gradientFill>
    </fill>
    <fill>
      <patternFill patternType="solid">
        <fgColor theme="1" tint="4.9989318521683403E-2"/>
        <bgColor indexed="64"/>
      </patternFill>
    </fill>
    <fill>
      <patternFill patternType="solid">
        <fgColor rgb="FFF9F9F9"/>
        <bgColor indexed="64"/>
      </patternFill>
    </fill>
    <fill>
      <gradientFill type="path">
        <stop position="0">
          <color theme="2" tint="-0.74901577806939912"/>
        </stop>
        <stop position="1">
          <color theme="1"/>
        </stop>
      </gradientFill>
    </fill>
  </fills>
  <borders count="2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theme="2"/>
      </left>
      <right style="thin">
        <color indexed="64"/>
      </right>
      <top style="thin">
        <color indexed="64"/>
      </top>
      <bottom style="thin">
        <color indexed="64"/>
      </bottom>
      <diagonal/>
    </border>
    <border>
      <left style="thin">
        <color indexed="64"/>
      </left>
      <right style="medium">
        <color theme="2"/>
      </right>
      <top style="thin">
        <color indexed="64"/>
      </top>
      <bottom style="thin">
        <color indexed="64"/>
      </bottom>
      <diagonal/>
    </border>
    <border>
      <left style="medium">
        <color theme="2"/>
      </left>
      <right/>
      <top/>
      <bottom/>
      <diagonal/>
    </border>
    <border>
      <left/>
      <right style="medium">
        <color theme="2"/>
      </right>
      <top/>
      <bottom/>
      <diagonal/>
    </border>
    <border>
      <left style="medium">
        <color theme="2"/>
      </left>
      <right/>
      <top/>
      <bottom style="thin">
        <color indexed="64"/>
      </bottom>
      <diagonal/>
    </border>
    <border>
      <left/>
      <right style="medium">
        <color theme="2"/>
      </right>
      <top/>
      <bottom style="thin">
        <color indexed="64"/>
      </bottom>
      <diagonal/>
    </border>
    <border>
      <left style="medium">
        <color theme="2"/>
      </left>
      <right/>
      <top style="medium">
        <color theme="2"/>
      </top>
      <bottom/>
      <diagonal/>
    </border>
    <border>
      <left/>
      <right/>
      <top style="medium">
        <color theme="2"/>
      </top>
      <bottom/>
      <diagonal/>
    </border>
    <border>
      <left/>
      <right style="medium">
        <color theme="2"/>
      </right>
      <top style="medium">
        <color theme="2"/>
      </top>
      <bottom/>
      <diagonal/>
    </border>
    <border>
      <left style="medium">
        <color theme="2"/>
      </left>
      <right/>
      <top/>
      <bottom style="medium">
        <color theme="2"/>
      </bottom>
      <diagonal/>
    </border>
    <border>
      <left/>
      <right/>
      <top/>
      <bottom style="medium">
        <color theme="2"/>
      </bottom>
      <diagonal/>
    </border>
    <border>
      <left/>
      <right style="medium">
        <color theme="2"/>
      </right>
      <top/>
      <bottom style="medium">
        <color theme="2"/>
      </bottom>
      <diagonal/>
    </border>
    <border>
      <left style="medium">
        <color theme="2"/>
      </left>
      <right style="medium">
        <color theme="2"/>
      </right>
      <top style="medium">
        <color theme="2"/>
      </top>
      <bottom/>
      <diagonal/>
    </border>
    <border>
      <left style="medium">
        <color theme="2"/>
      </left>
      <right style="medium">
        <color theme="2"/>
      </right>
      <top style="thin">
        <color indexed="64"/>
      </top>
      <bottom/>
      <diagonal/>
    </border>
    <border>
      <left style="medium">
        <color theme="2"/>
      </left>
      <right style="medium">
        <color theme="2"/>
      </right>
      <top/>
      <bottom/>
      <diagonal/>
    </border>
    <border>
      <left style="medium">
        <color theme="2"/>
      </left>
      <right style="medium">
        <color theme="2"/>
      </right>
      <top style="thin">
        <color indexed="64"/>
      </top>
      <bottom style="medium">
        <color theme="2"/>
      </bottom>
      <diagonal/>
    </border>
    <border>
      <left style="medium">
        <color theme="2"/>
      </left>
      <right style="medium">
        <color theme="2"/>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0" fontId="8" fillId="0" borderId="0" applyNumberFormat="0" applyFill="0" applyBorder="0" applyAlignment="0" applyProtection="0"/>
  </cellStyleXfs>
  <cellXfs count="63">
    <xf numFmtId="0" fontId="0" fillId="0" borderId="0" xfId="0"/>
    <xf numFmtId="0" fontId="0" fillId="7" borderId="0" xfId="0" applyFill="1"/>
    <xf numFmtId="0" fontId="0" fillId="0" borderId="1" xfId="0" applyBorder="1" applyAlignment="1">
      <alignment horizontal="center" vertical="center"/>
    </xf>
    <xf numFmtId="0" fontId="0" fillId="4" borderId="9" xfId="0" applyFill="1" applyBorder="1"/>
    <xf numFmtId="0" fontId="0" fillId="4" borderId="11" xfId="0" applyFill="1" applyBorder="1"/>
    <xf numFmtId="0" fontId="0" fillId="4" borderId="5" xfId="0" applyFill="1" applyBorder="1"/>
    <xf numFmtId="0" fontId="0" fillId="4" borderId="6" xfId="0" applyFill="1" applyBorder="1"/>
    <xf numFmtId="0" fontId="7" fillId="0" borderId="15" xfId="0" applyFont="1" applyBorder="1" applyAlignment="1">
      <alignment horizontal="left" vertical="center"/>
    </xf>
    <xf numFmtId="0" fontId="0" fillId="8" borderId="17" xfId="0" applyFill="1" applyBorder="1" applyAlignment="1">
      <alignment horizontal="left" vertical="center" wrapText="1" indent="1"/>
    </xf>
    <xf numFmtId="0" fontId="6" fillId="0" borderId="16" xfId="0" applyFont="1" applyBorder="1"/>
    <xf numFmtId="0" fontId="0" fillId="8" borderId="17" xfId="0" applyFill="1" applyBorder="1" applyAlignment="1">
      <alignment horizontal="left" vertical="top" wrapText="1" indent="1"/>
    </xf>
    <xf numFmtId="0" fontId="6" fillId="0" borderId="17" xfId="0" applyFont="1" applyBorder="1" applyAlignment="1">
      <alignment horizontal="left" vertical="center"/>
    </xf>
    <xf numFmtId="0" fontId="1" fillId="0" borderId="0" xfId="0" applyFont="1" applyProtection="1">
      <protection locked="0"/>
    </xf>
    <xf numFmtId="0" fontId="1" fillId="3" borderId="9" xfId="0" applyFont="1" applyFill="1" applyBorder="1" applyProtection="1">
      <protection locked="0"/>
    </xf>
    <xf numFmtId="0" fontId="1" fillId="3" borderId="10" xfId="0" applyFont="1" applyFill="1" applyBorder="1" applyProtection="1">
      <protection locked="0"/>
    </xf>
    <xf numFmtId="0" fontId="1" fillId="4" borderId="9" xfId="0" applyFont="1" applyFill="1" applyBorder="1" applyProtection="1">
      <protection locked="0"/>
    </xf>
    <xf numFmtId="0" fontId="1" fillId="4" borderId="10" xfId="0" applyFont="1" applyFill="1" applyBorder="1" applyProtection="1">
      <protection locked="0"/>
    </xf>
    <xf numFmtId="0" fontId="1" fillId="4" borderId="11" xfId="0" applyFont="1" applyFill="1" applyBorder="1" applyProtection="1">
      <protection locked="0"/>
    </xf>
    <xf numFmtId="0" fontId="1" fillId="3" borderId="5" xfId="0" applyFont="1" applyFill="1" applyBorder="1" applyProtection="1">
      <protection locked="0"/>
    </xf>
    <xf numFmtId="0" fontId="1" fillId="3" borderId="0" xfId="0" applyFont="1" applyFill="1" applyProtection="1">
      <protection locked="0"/>
    </xf>
    <xf numFmtId="0" fontId="1" fillId="4" borderId="5" xfId="0" applyFont="1" applyFill="1" applyBorder="1" applyProtection="1">
      <protection locked="0"/>
    </xf>
    <xf numFmtId="0" fontId="1" fillId="4" borderId="0" xfId="0" applyFont="1" applyFill="1" applyProtection="1">
      <protection locked="0"/>
    </xf>
    <xf numFmtId="0" fontId="1" fillId="4" borderId="6" xfId="0" applyFont="1" applyFill="1" applyBorder="1" applyProtection="1">
      <protection locked="0"/>
    </xf>
    <xf numFmtId="14" fontId="4" fillId="5" borderId="7" xfId="0" applyNumberFormat="1" applyFont="1" applyFill="1" applyBorder="1" applyAlignment="1" applyProtection="1">
      <alignment horizontal="center"/>
      <protection locked="0"/>
    </xf>
    <xf numFmtId="0" fontId="4" fillId="5" borderId="2" xfId="0" applyFont="1" applyFill="1" applyBorder="1" applyAlignment="1" applyProtection="1">
      <alignment horizontal="center"/>
      <protection locked="0"/>
    </xf>
    <xf numFmtId="0" fontId="1" fillId="2" borderId="1" xfId="0" applyFont="1" applyFill="1" applyBorder="1" applyAlignment="1" applyProtection="1">
      <alignment horizontal="left" vertical="center"/>
      <protection locked="0"/>
    </xf>
    <xf numFmtId="0" fontId="1" fillId="2" borderId="1" xfId="0" applyFont="1" applyFill="1" applyBorder="1" applyAlignment="1" applyProtection="1">
      <alignment horizontal="center" vertical="center"/>
      <protection locked="0"/>
    </xf>
    <xf numFmtId="0" fontId="3" fillId="3" borderId="5" xfId="0" applyFont="1" applyFill="1" applyBorder="1" applyAlignment="1" applyProtection="1">
      <alignment horizontal="right"/>
      <protection locked="0"/>
    </xf>
    <xf numFmtId="0" fontId="1" fillId="2" borderId="1" xfId="0" applyFont="1" applyFill="1" applyBorder="1" applyProtection="1">
      <protection locked="0"/>
    </xf>
    <xf numFmtId="0" fontId="1" fillId="4" borderId="12" xfId="0" applyFont="1" applyFill="1" applyBorder="1" applyProtection="1">
      <protection locked="0"/>
    </xf>
    <xf numFmtId="0" fontId="1" fillId="4" borderId="13" xfId="0" applyFont="1" applyFill="1" applyBorder="1" applyProtection="1">
      <protection locked="0"/>
    </xf>
    <xf numFmtId="0" fontId="1" fillId="4" borderId="14" xfId="0" applyFont="1" applyFill="1" applyBorder="1" applyProtection="1">
      <protection locked="0"/>
    </xf>
    <xf numFmtId="0" fontId="9" fillId="9" borderId="1" xfId="0" applyFont="1" applyFill="1" applyBorder="1" applyAlignment="1">
      <alignment horizontal="center" vertical="center"/>
    </xf>
    <xf numFmtId="0" fontId="0" fillId="8" borderId="19" xfId="0" applyFill="1" applyBorder="1" applyAlignment="1">
      <alignment horizontal="left" vertical="center" wrapText="1" indent="1"/>
    </xf>
    <xf numFmtId="0" fontId="5" fillId="0" borderId="18" xfId="0" applyFont="1" applyBorder="1" applyAlignment="1">
      <alignment horizontal="center" vertical="center" wrapText="1"/>
    </xf>
    <xf numFmtId="0" fontId="0" fillId="0" borderId="0" xfId="0" pivotButton="1"/>
    <xf numFmtId="0" fontId="0" fillId="0" borderId="0" xfId="0" applyAlignment="1">
      <alignment horizontal="left"/>
    </xf>
    <xf numFmtId="164" fontId="1" fillId="0" borderId="0" xfId="0" applyNumberFormat="1" applyFont="1" applyProtection="1">
      <protection locked="0"/>
    </xf>
    <xf numFmtId="164" fontId="0" fillId="0" borderId="0" xfId="0" applyNumberFormat="1" applyAlignment="1">
      <alignment horizontal="center" vertical="center"/>
    </xf>
    <xf numFmtId="14" fontId="1" fillId="2" borderId="3" xfId="0" applyNumberFormat="1" applyFont="1" applyFill="1" applyBorder="1" applyAlignment="1" applyProtection="1">
      <alignment horizontal="center" vertical="center"/>
      <protection locked="0"/>
    </xf>
    <xf numFmtId="14" fontId="1" fillId="2" borderId="3" xfId="0" applyNumberFormat="1" applyFont="1" applyFill="1" applyBorder="1" applyProtection="1">
      <protection locked="0"/>
    </xf>
    <xf numFmtId="0" fontId="8" fillId="0" borderId="17" xfId="1" applyBorder="1"/>
    <xf numFmtId="14" fontId="1" fillId="2" borderId="20" xfId="0" applyNumberFormat="1" applyFont="1" applyFill="1" applyBorder="1" applyAlignment="1" applyProtection="1">
      <alignment horizontal="center" vertical="center"/>
      <protection locked="0"/>
    </xf>
    <xf numFmtId="14" fontId="2" fillId="6" borderId="22" xfId="0" applyNumberFormat="1" applyFont="1" applyFill="1" applyBorder="1" applyAlignment="1" applyProtection="1">
      <alignment horizontal="center"/>
      <protection locked="0"/>
    </xf>
    <xf numFmtId="0" fontId="2" fillId="6" borderId="23" xfId="0" applyFont="1" applyFill="1" applyBorder="1" applyAlignment="1" applyProtection="1">
      <alignment horizontal="center" vertical="center"/>
      <protection locked="0"/>
    </xf>
    <xf numFmtId="0" fontId="1" fillId="2" borderId="26" xfId="0" applyFont="1" applyFill="1" applyBorder="1" applyProtection="1">
      <protection locked="0"/>
    </xf>
    <xf numFmtId="0" fontId="1" fillId="2" borderId="26" xfId="0" applyFont="1" applyFill="1" applyBorder="1" applyAlignment="1" applyProtection="1">
      <alignment horizontal="center" vertical="center"/>
      <protection locked="0"/>
    </xf>
    <xf numFmtId="14" fontId="10" fillId="2" borderId="25" xfId="0" applyNumberFormat="1" applyFont="1" applyFill="1" applyBorder="1" applyAlignment="1" applyProtection="1">
      <alignment horizontal="center" vertical="center"/>
      <protection locked="0"/>
    </xf>
    <xf numFmtId="165" fontId="0" fillId="0" borderId="0" xfId="0" applyNumberFormat="1"/>
    <xf numFmtId="0" fontId="0" fillId="7" borderId="0" xfId="0" applyFill="1" applyAlignment="1">
      <alignment horizontal="center" vertical="center"/>
    </xf>
    <xf numFmtId="0" fontId="0" fillId="4" borderId="10" xfId="0" applyFill="1" applyBorder="1" applyAlignment="1">
      <alignment horizontal="center" vertical="center"/>
    </xf>
    <xf numFmtId="0" fontId="0" fillId="4" borderId="0" xfId="0" applyFill="1" applyAlignment="1">
      <alignment horizontal="center" vertical="center"/>
    </xf>
    <xf numFmtId="166" fontId="1" fillId="0" borderId="0" xfId="0" applyNumberFormat="1" applyFont="1" applyProtection="1">
      <protection locked="0"/>
    </xf>
    <xf numFmtId="166" fontId="1" fillId="3" borderId="11" xfId="0" applyNumberFormat="1" applyFont="1" applyFill="1" applyBorder="1" applyProtection="1">
      <protection locked="0"/>
    </xf>
    <xf numFmtId="166" fontId="1" fillId="3" borderId="6" xfId="0" applyNumberFormat="1" applyFont="1" applyFill="1" applyBorder="1" applyProtection="1">
      <protection locked="0"/>
    </xf>
    <xf numFmtId="166" fontId="4" fillId="5" borderId="8" xfId="0" applyNumberFormat="1" applyFont="1" applyFill="1" applyBorder="1" applyAlignment="1" applyProtection="1">
      <alignment horizontal="center"/>
      <protection locked="0"/>
    </xf>
    <xf numFmtId="166" fontId="1" fillId="2" borderId="4" xfId="0" applyNumberFormat="1" applyFont="1" applyFill="1" applyBorder="1" applyAlignment="1" applyProtection="1">
      <alignment horizontal="center" vertical="center"/>
      <protection locked="0"/>
    </xf>
    <xf numFmtId="166" fontId="2" fillId="6" borderId="24" xfId="0" applyNumberFormat="1" applyFont="1" applyFill="1" applyBorder="1" applyAlignment="1" applyProtection="1">
      <alignment horizontal="center" vertical="center"/>
      <protection locked="0"/>
    </xf>
    <xf numFmtId="166" fontId="1" fillId="2" borderId="21" xfId="0" applyNumberFormat="1" applyFont="1" applyFill="1" applyBorder="1" applyAlignment="1" applyProtection="1">
      <alignment horizontal="center" vertical="center"/>
      <protection locked="0"/>
    </xf>
    <xf numFmtId="166" fontId="1" fillId="2" borderId="27" xfId="0" applyNumberFormat="1" applyFont="1" applyFill="1" applyBorder="1" applyAlignment="1" applyProtection="1">
      <alignment horizontal="center" vertical="center"/>
      <protection locked="0"/>
    </xf>
    <xf numFmtId="166" fontId="1" fillId="2" borderId="4" xfId="0" applyNumberFormat="1" applyFont="1" applyFill="1" applyBorder="1" applyProtection="1">
      <protection locked="0"/>
    </xf>
    <xf numFmtId="167" fontId="0" fillId="0" borderId="0" xfId="0" applyNumberFormat="1" applyAlignment="1">
      <alignment horizontal="center" vertical="center"/>
    </xf>
    <xf numFmtId="0" fontId="1" fillId="2" borderId="1" xfId="0" applyFont="1" applyFill="1" applyBorder="1" applyAlignment="1" applyProtection="1">
      <alignment wrapText="1"/>
      <protection locked="0"/>
    </xf>
  </cellXfs>
  <cellStyles count="2">
    <cellStyle name="Hipervínculo" xfId="1" builtinId="8"/>
    <cellStyle name="Normal" xfId="0" builtinId="0"/>
  </cellStyles>
  <dxfs count="28">
    <dxf>
      <font>
        <b val="0"/>
        <i val="0"/>
        <strike val="0"/>
        <condense val="0"/>
        <extend val="0"/>
        <outline val="0"/>
        <shadow val="0"/>
        <u val="none"/>
        <vertAlign val="baseline"/>
        <sz val="11"/>
        <color theme="1"/>
        <name val="Arial"/>
        <scheme val="none"/>
      </font>
      <numFmt numFmtId="166" formatCode="_-[$$-240A]\ * #,##0.00_-;\-[$$-240A]\ * #,##0.00_-;_-[$$-240A]\ *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Arial"/>
        <scheme val="none"/>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Arial"/>
        <scheme val="none"/>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Arial"/>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Arial"/>
        <scheme val="none"/>
      </font>
      <numFmt numFmtId="168" formatCode="m/d/yyyy"/>
      <fill>
        <patternFill patternType="solid">
          <fgColor indexed="64"/>
          <bgColor theme="0"/>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protection locked="0" hidden="0"/>
    </dxf>
    <dxf>
      <border outline="0">
        <top style="thin">
          <color indexed="64"/>
        </top>
      </border>
    </dxf>
    <dxf>
      <border outline="0">
        <left style="medium">
          <color theme="2"/>
        </left>
        <right style="medium">
          <color theme="2"/>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Arial"/>
        <scheme val="none"/>
      </font>
      <fill>
        <gradientFill degree="90">
          <stop position="0">
            <color theme="2" tint="-0.74901577806939912"/>
          </stop>
          <stop position="0.5">
            <color theme="2" tint="-0.89803765984069339"/>
          </stop>
          <stop position="1">
            <color theme="2" tint="-0.74901577806939912"/>
          </stop>
        </gradientFill>
      </fill>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numFmt numFmtId="164" formatCode="[$$-409]#,##0.00"/>
    </dxf>
    <dxf>
      <numFmt numFmtId="164" formatCode="[$$-409]#,##0.00"/>
    </dxf>
    <dxf>
      <alignment horizontal="center"/>
    </dxf>
    <dxf>
      <alignment vertical="center"/>
    </dxf>
    <dxf>
      <font>
        <b/>
        <i val="0"/>
        <color theme="0"/>
      </font>
      <border>
        <bottom style="thin">
          <color theme="0"/>
        </bottom>
        <vertical/>
        <horizontal/>
      </border>
    </dxf>
    <dxf>
      <font>
        <color theme="0"/>
      </font>
      <fill>
        <patternFill patternType="solid">
          <fgColor indexed="64"/>
          <bgColor theme="1" tint="4.9989318521683403E-2"/>
        </patternFill>
      </fill>
      <border diagonalUp="0" diagonalDown="0">
        <left/>
        <right/>
        <top/>
        <bottom/>
        <vertical/>
        <horizontal/>
      </border>
    </dxf>
    <dxf>
      <font>
        <color theme="0"/>
      </font>
      <fill>
        <patternFill patternType="solid">
          <fgColor theme="9" tint="-0.499984740745262"/>
          <bgColor theme="9" tint="-0.499984740745262"/>
        </patternFill>
      </fill>
      <border>
        <horizontal style="thin">
          <color theme="9" tint="-0.499984740745262"/>
        </horizontal>
      </border>
    </dxf>
    <dxf>
      <font>
        <b/>
        <color theme="0"/>
      </font>
      <fill>
        <patternFill patternType="solid">
          <fgColor theme="9" tint="-0.499984740745262"/>
          <bgColor theme="9" tint="-0.499984740745262"/>
        </patternFill>
      </fill>
      <border>
        <horizontal style="thin">
          <color theme="9" tint="-0.499984740745262"/>
        </horizontal>
      </border>
    </dxf>
    <dxf>
      <font>
        <b/>
        <color theme="1"/>
      </font>
    </dxf>
    <dxf>
      <font>
        <b/>
        <color theme="1"/>
      </font>
      <fill>
        <patternFill patternType="solid">
          <fgColor theme="9" tint="0.79998168889431442"/>
          <bgColor theme="9" tint="0.79998168889431442"/>
        </patternFill>
      </fill>
      <border>
        <top style="thin">
          <color theme="9" tint="0.39997558519241921"/>
        </top>
        <bottom style="thin">
          <color theme="9" tint="0.39997558519241921"/>
        </bottom>
      </border>
    </dxf>
    <dxf>
      <font>
        <b/>
        <color theme="1"/>
      </font>
      <border>
        <bottom style="thin">
          <color theme="9" tint="0.79998168889431442"/>
        </bottom>
      </border>
    </dxf>
    <dxf>
      <border>
        <left style="thin">
          <color theme="9" tint="0.79998168889431442"/>
        </left>
        <right style="thin">
          <color theme="9" tint="0.79998168889431442"/>
        </right>
      </border>
    </dxf>
    <dxf>
      <fill>
        <patternFill patternType="solid">
          <fgColor theme="9" tint="0.39997558519241921"/>
          <bgColor theme="9" tint="0.39997558519241921"/>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border>
        <bottom style="thin">
          <color theme="9"/>
        </bottom>
        <horizontal style="thin">
          <color theme="9" tint="-0.499984740745262"/>
        </horizontal>
      </border>
    </dxf>
    <dxf>
      <font>
        <color theme="1"/>
      </font>
      <fill>
        <patternFill patternType="solid">
          <fgColor theme="9" tint="0.59999389629810485"/>
          <bgColor theme="9" tint="0.59999389629810485"/>
        </patternFill>
      </fill>
      <border>
        <left style="medium">
          <color theme="2"/>
        </left>
        <right style="medium">
          <color theme="2"/>
        </right>
        <top style="medium">
          <color theme="2"/>
        </top>
        <bottom style="medium">
          <color theme="2"/>
        </bottom>
        <horizontal style="thin">
          <color theme="9" tint="0.79998168889431442"/>
        </horizontal>
      </border>
    </dxf>
    <dxf>
      <font>
        <color theme="1"/>
      </font>
      <fill>
        <patternFill patternType="solid">
          <bgColor theme="9" tint="0.59996337778862885"/>
        </patternFill>
      </fill>
    </dxf>
    <dxf>
      <font>
        <b/>
        <sz val="11"/>
        <color theme="1"/>
      </font>
    </dxf>
    <dxf>
      <font>
        <b/>
        <i val="0"/>
        <color theme="0"/>
      </font>
      <fill>
        <patternFill patternType="none">
          <fgColor auto="1"/>
          <bgColor auto="1"/>
        </patternFill>
      </fill>
      <border diagonalUp="0" diagonalDown="0">
        <left/>
        <right/>
        <top/>
        <bottom/>
        <vertical/>
        <horizontal/>
      </border>
    </dxf>
  </dxfs>
  <tableStyles count="4" defaultTableStyle="TableStyleMedium2" defaultPivotStyle="PivotStyleLight16">
    <tableStyle name="Estilo de Linha do Tempo 1" pivot="0" table="0" count="8">
      <tableStyleElement type="wholeTable" dxfId="27"/>
      <tableStyleElement type="headerRow" dxfId="26"/>
    </tableStyle>
    <tableStyle name="Estilo de Segmentação de Dados 1" pivot="0" table="0" count="1">
      <tableStyleElement type="wholeTable" dxfId="25"/>
    </tableStyle>
    <tableStyle name="PivotStyleDark7 2" table="0" count="10">
      <tableStyleElement type="wholeTable" dxfId="24"/>
      <tableStyleElement type="headerRow" dxfId="23"/>
      <tableStyleElement type="totalRow" dxfId="22"/>
      <tableStyleElement type="secondRowStripe" dxfId="21"/>
      <tableStyleElement type="secondColumnStripe" dxfId="20"/>
      <tableStyleElement type="firstSubtotalRow" dxfId="19"/>
      <tableStyleElement type="firstRowSubheading" dxfId="18"/>
      <tableStyleElement type="secondRowSubheading" dxfId="17"/>
      <tableStyleElement type="pageFieldLabels" dxfId="16"/>
      <tableStyleElement type="pageFieldValues" dxfId="15"/>
    </tableStyle>
    <tableStyle name="SlicerStyleLight3 2" pivot="0" table="0" count="10">
      <tableStyleElement type="wholeTable" dxfId="14"/>
      <tableStyleElement type="headerRow" dxfId="13"/>
    </tableStyle>
  </tableStyles>
  <colors>
    <mruColors>
      <color rgb="FFFFFF15"/>
      <color rgb="FFCDC800"/>
      <color rgb="FFFFFF33"/>
      <color rgb="FFA67A88"/>
      <color rgb="FF5A3C45"/>
      <color rgb="FFCF5417"/>
      <color rgb="FF099B9F"/>
      <color rgb="FF07787B"/>
      <color rgb="FF055557"/>
      <color rgb="FF0F9ED7"/>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theme="9" tint="0.80001220740379042"/>
              </stop>
              <stop position="0.5">
                <color theme="9" tint="0.40000610370189521"/>
              </stop>
              <stop position="1">
                <color theme="9" tint="0.80001220740379042"/>
              </stop>
            </gradientFill>
          </fill>
          <border>
            <left style="thin">
              <color theme="2"/>
            </left>
            <right style="thin">
              <color theme="2"/>
            </right>
            <top style="thin">
              <color theme="2"/>
            </top>
            <bottom style="thin">
              <color theme="2"/>
            </bottom>
            <vertical/>
            <horizontal/>
          </border>
        </dxf>
        <dxf>
          <font>
            <b/>
            <i val="0"/>
            <color theme="0"/>
          </font>
          <fill>
            <gradientFill degree="45">
              <stop position="0">
                <color rgb="FF389558"/>
              </stop>
              <stop position="1">
                <color theme="6" tint="-0.25098422193060094"/>
              </stop>
            </gradientFill>
          </fill>
          <border>
            <left style="thin">
              <color theme="2"/>
            </left>
            <right style="thin">
              <color theme="2"/>
            </right>
            <top style="thin">
              <color theme="2"/>
            </top>
            <bottom style="thin">
              <color theme="2"/>
            </bottom>
            <vertical/>
            <horizontal/>
          </border>
        </dxf>
        <dxf>
          <font>
            <b/>
            <i val="0"/>
            <color rgb="FF828282"/>
          </font>
          <fill>
            <patternFill patternType="solid">
              <fgColor rgb="FFFFFFFF"/>
              <bgColor rgb="FFFFFFFF"/>
            </patternFill>
          </fill>
          <border>
            <left style="thin">
              <color theme="2"/>
            </left>
            <right style="thin">
              <color theme="2"/>
            </right>
            <top style="thin">
              <color theme="2"/>
            </top>
            <bottom style="thin">
              <color theme="2"/>
            </bottom>
            <vertical/>
            <horizontal/>
          </border>
        </dxf>
        <dxf>
          <font>
            <b/>
            <i val="0"/>
            <color rgb="FF000000"/>
          </font>
          <fill>
            <gradientFill degree="90">
              <stop position="0">
                <color theme="9" tint="0.80001220740379042"/>
              </stop>
              <stop position="1">
                <color theme="9" tint="0.40000610370189521"/>
              </stop>
            </gradientFill>
          </fill>
          <border>
            <left style="thin">
              <color theme="2"/>
            </left>
            <right style="thin">
              <color theme="2"/>
            </right>
            <top style="thin">
              <color theme="2"/>
            </top>
            <bottom style="thin">
              <color theme="2"/>
            </bottom>
            <vertical/>
            <horizontal/>
          </border>
        </dxf>
      </x14:dxfs>
    </ext>
    <ext xmlns:x14="http://schemas.microsoft.com/office/spreadsheetml/2009/9/main" uri="{EB79DEF2-80B8-43e5-95BD-54CBDDF9020C}">
      <x14:slicerStyles defaultSlicerStyle="SlicerStyleLight1">
        <x14:slicerStyle name="Estilo de Segmentação de Dados 1"/>
        <x14:slicerStyle name="SlicerStyleLight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gradientFill degree="90">
              <stop position="0">
                <color theme="9" tint="0.80001220740379042"/>
              </stop>
              <stop position="0.5">
                <color theme="9" tint="0.40000610370189521"/>
              </stop>
              <stop position="1">
                <color theme="9" tint="0.80001220740379042"/>
              </stop>
            </gradientFill>
          </fill>
        </dxf>
        <dxf>
          <fill>
            <gradientFill degree="90">
              <stop position="0">
                <color rgb="FF389558"/>
              </stop>
              <stop position="0.5">
                <color theme="6" tint="-0.25098422193060094"/>
              </stop>
              <stop position="1">
                <color rgb="FF389558"/>
              </stop>
            </gradientFill>
          </fill>
        </dxf>
        <dxf>
          <font>
            <sz val="9"/>
            <color theme="0"/>
          </font>
        </dxf>
        <dxf>
          <font>
            <sz val="9"/>
            <color theme="0"/>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Estilo de Linha do Tempo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11/relationships/timelineCache" Target="timelineCaches/timelineCach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[Control de Finanzas (1).xlsm]Movimientos!Tabela dinâmica1</c:name>
    <c:fmtId val="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lumOff val="40000"/>
                    </a:schemeClr>
                  </a:solidFill>
                  <a:latin typeface="+mn-lt"/>
                  <a:ea typeface="+mn-ea"/>
                  <a:cs typeface="+mn-cs"/>
                </a:defRPr>
              </a:pPr>
              <a:endParaRPr lang="es-CO"/>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3"/>
        <c:spPr>
          <a:solidFill>
            <a:srgbClr val="27A93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numFmt formatCode="&quot;R$&quot;\ #,##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27A936"/>
                  </a:solidFill>
                  <a:latin typeface="+mn-lt"/>
                  <a:ea typeface="+mn-ea"/>
                  <a:cs typeface="+mn-cs"/>
                </a:defRPr>
              </a:pPr>
              <a:endParaRPr lang="es-CO"/>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4"/>
        <c:spPr>
          <a:solidFill>
            <a:srgbClr val="FF0000"/>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2.2889693428928475E-2"/>
              <c:y val="-8.1305196850393696E-2"/>
            </c:manualLayout>
          </c:layout>
          <c:numFmt formatCode="&quot;R$&quot;\ #,##0" sourceLinked="0"/>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solidFill>
                    <a:srgbClr val="FF0000"/>
                  </a:solidFill>
                  <a:latin typeface="+mn-lt"/>
                  <a:ea typeface="+mn-ea"/>
                  <a:cs typeface="+mn-cs"/>
                </a:defRPr>
              </a:pPr>
              <a:endParaRPr lang="es-CO"/>
            </a:p>
          </c:txPr>
          <c:dLblPos val="bestFit"/>
          <c:showLegendKey val="0"/>
          <c:showVal val="1"/>
          <c:showCatName val="1"/>
          <c:showSerName val="0"/>
          <c:showPercent val="0"/>
          <c:showBubbleSize val="0"/>
          <c:separator>
</c:separator>
          <c:extLst>
            <c:ext xmlns:c15="http://schemas.microsoft.com/office/drawing/2012/chart" uri="{CE6537A1-D6FC-4f65-9D91-7224C49458BB}">
              <c15:layout>
                <c:manualLayout>
                  <c:w val="0.25744596102236539"/>
                  <c:h val="0.43655011655011655"/>
                </c:manualLayout>
              </c15:layout>
            </c:ext>
          </c:extLst>
        </c:dLbl>
      </c:pivotFmt>
      <c:pivotFmt>
        <c:idx val="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ln w="6350" cap="rnd">
                    <a:noFill/>
                    <a:round/>
                  </a:ln>
                  <a:solidFill>
                    <a:srgbClr val="389558"/>
                  </a:solidFill>
                  <a:latin typeface="+mn-lt"/>
                  <a:ea typeface="+mn-ea"/>
                  <a:cs typeface="+mn-cs"/>
                </a:defRPr>
              </a:pPr>
              <a:endParaRPr lang="es-CO"/>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6"/>
        <c:spPr>
          <a:gradFill>
            <a:gsLst>
              <a:gs pos="57000">
                <a:srgbClr val="FF3737"/>
              </a:gs>
              <a:gs pos="9000">
                <a:srgbClr val="FF6969"/>
              </a:gs>
            </a:gsLst>
            <a:path path="circle">
              <a:fillToRect l="100000" t="100000"/>
            </a:path>
          </a:gra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numFmt formatCode="&quot;R$&quot;\ #,##0" sourceLinked="0"/>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ln w="6350" cap="rnd">
                    <a:noFill/>
                    <a:round/>
                  </a:ln>
                  <a:solidFill>
                    <a:srgbClr val="FF4343"/>
                  </a:solidFill>
                  <a:latin typeface="+mn-lt"/>
                  <a:ea typeface="+mn-ea"/>
                  <a:cs typeface="+mn-cs"/>
                </a:defRPr>
              </a:pPr>
              <a:endParaRPr lang="es-CO"/>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spPr>
          <a:gradFill>
            <a:gsLst>
              <a:gs pos="57000">
                <a:srgbClr val="389558"/>
              </a:gs>
              <a:gs pos="9000">
                <a:srgbClr val="4EA72E">
                  <a:lumMod val="60000"/>
                  <a:lumOff val="40000"/>
                </a:srgbClr>
              </a:gs>
            </a:gsLst>
            <a:path path="circle">
              <a:fillToRect l="100000" t="100000"/>
            </a:path>
          </a:gra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numFmt formatCode="&quot;R$&quot;\ #,##0" sourceLinked="0"/>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ln w="6350" cap="rnd">
                    <a:noFill/>
                    <a:round/>
                  </a:ln>
                  <a:solidFill>
                    <a:srgbClr val="389558"/>
                  </a:solidFill>
                  <a:latin typeface="+mn-lt"/>
                  <a:ea typeface="+mn-ea"/>
                  <a:cs typeface="+mn-cs"/>
                </a:defRPr>
              </a:pPr>
              <a:endParaRPr lang="es-CO"/>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ln w="6350" cap="rnd">
                    <a:noFill/>
                    <a:round/>
                  </a:ln>
                  <a:solidFill>
                    <a:srgbClr val="389558"/>
                  </a:solidFill>
                  <a:latin typeface="+mn-lt"/>
                  <a:ea typeface="+mn-ea"/>
                  <a:cs typeface="+mn-cs"/>
                </a:defRPr>
              </a:pPr>
              <a:endParaRPr lang="es-CO"/>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9"/>
        <c:spPr>
          <a:gradFill>
            <a:gsLst>
              <a:gs pos="57000">
                <a:srgbClr val="FF3737"/>
              </a:gs>
              <a:gs pos="9000">
                <a:srgbClr val="FF6969"/>
              </a:gs>
            </a:gsLst>
            <a:path path="circle">
              <a:fillToRect l="100000" t="100000"/>
            </a:path>
          </a:gra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numFmt formatCode="&quot;R$&quot;\ #,##0" sourceLinked="0"/>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ln w="6350" cap="rnd">
                    <a:noFill/>
                    <a:round/>
                  </a:ln>
                  <a:solidFill>
                    <a:srgbClr val="FF4343"/>
                  </a:solidFill>
                  <a:latin typeface="+mn-lt"/>
                  <a:ea typeface="+mn-ea"/>
                  <a:cs typeface="+mn-cs"/>
                </a:defRPr>
              </a:pPr>
              <a:endParaRPr lang="es-CO"/>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0"/>
        <c:spPr>
          <a:gradFill>
            <a:gsLst>
              <a:gs pos="57000">
                <a:srgbClr val="389558"/>
              </a:gs>
              <a:gs pos="9000">
                <a:srgbClr val="4EA72E">
                  <a:lumMod val="60000"/>
                  <a:lumOff val="40000"/>
                </a:srgbClr>
              </a:gs>
            </a:gsLst>
            <a:path path="circle">
              <a:fillToRect l="100000" t="100000"/>
            </a:path>
          </a:gra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numFmt formatCode="&quot;R$&quot;\ #,##0" sourceLinked="0"/>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ln w="6350" cap="rnd">
                    <a:noFill/>
                    <a:round/>
                  </a:ln>
                  <a:solidFill>
                    <a:srgbClr val="389558"/>
                  </a:solidFill>
                  <a:latin typeface="+mn-lt"/>
                  <a:ea typeface="+mn-ea"/>
                  <a:cs typeface="+mn-cs"/>
                </a:defRPr>
              </a:pPr>
              <a:endParaRPr lang="es-CO"/>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ln w="6350" cap="rnd">
                    <a:noFill/>
                    <a:round/>
                  </a:ln>
                  <a:solidFill>
                    <a:srgbClr val="389558"/>
                  </a:solidFill>
                  <a:latin typeface="+mn-lt"/>
                  <a:ea typeface="+mn-ea"/>
                  <a:cs typeface="+mn-cs"/>
                </a:defRPr>
              </a:pPr>
              <a:endParaRPr lang="es-CO"/>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2"/>
        <c:spPr>
          <a:gradFill>
            <a:gsLst>
              <a:gs pos="57000">
                <a:srgbClr val="FF3737"/>
              </a:gs>
              <a:gs pos="9000">
                <a:srgbClr val="FF6969"/>
              </a:gs>
            </a:gsLst>
            <a:path path="circle">
              <a:fillToRect l="100000" t="100000"/>
            </a:path>
          </a:gra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numFmt formatCode="&quot;R$&quot;\ #,##0" sourceLinked="0"/>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ln w="6350" cap="rnd">
                    <a:noFill/>
                    <a:round/>
                  </a:ln>
                  <a:solidFill>
                    <a:srgbClr val="FF4343"/>
                  </a:solidFill>
                  <a:latin typeface="+mn-lt"/>
                  <a:ea typeface="+mn-ea"/>
                  <a:cs typeface="+mn-cs"/>
                </a:defRPr>
              </a:pPr>
              <a:endParaRPr lang="es-CO"/>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3"/>
        <c:spPr>
          <a:gradFill>
            <a:gsLst>
              <a:gs pos="57000">
                <a:srgbClr val="389558"/>
              </a:gs>
              <a:gs pos="9000">
                <a:srgbClr val="4EA72E">
                  <a:lumMod val="60000"/>
                  <a:lumOff val="40000"/>
                </a:srgbClr>
              </a:gs>
            </a:gsLst>
            <a:path path="circle">
              <a:fillToRect l="100000" t="100000"/>
            </a:path>
          </a:gra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numFmt formatCode="&quot;R$&quot;\ #,##0" sourceLinked="0"/>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ln w="6350" cap="rnd">
                    <a:noFill/>
                    <a:round/>
                  </a:ln>
                  <a:solidFill>
                    <a:srgbClr val="389558"/>
                  </a:solidFill>
                  <a:latin typeface="+mn-lt"/>
                  <a:ea typeface="+mn-ea"/>
                  <a:cs typeface="+mn-cs"/>
                </a:defRPr>
              </a:pPr>
              <a:endParaRPr lang="es-CO"/>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ln w="6350" cap="rnd">
                    <a:noFill/>
                    <a:round/>
                  </a:ln>
                  <a:solidFill>
                    <a:srgbClr val="389558"/>
                  </a:solidFill>
                  <a:latin typeface="+mn-lt"/>
                  <a:ea typeface="+mn-ea"/>
                  <a:cs typeface="+mn-cs"/>
                </a:defRPr>
              </a:pPr>
              <a:endParaRPr lang="es-CO"/>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5"/>
        <c:spPr>
          <a:gradFill>
            <a:gsLst>
              <a:gs pos="57000">
                <a:srgbClr val="FF3737"/>
              </a:gs>
              <a:gs pos="9000">
                <a:srgbClr val="FF6969"/>
              </a:gs>
            </a:gsLst>
            <a:path path="circle">
              <a:fillToRect l="100000" t="100000"/>
            </a:path>
          </a:gra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numFmt formatCode="&quot;R$&quot;\ #,##0" sourceLinked="0"/>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ln w="6350" cap="rnd">
                    <a:noFill/>
                    <a:round/>
                  </a:ln>
                  <a:solidFill>
                    <a:srgbClr val="FF4343"/>
                  </a:solidFill>
                  <a:latin typeface="+mn-lt"/>
                  <a:ea typeface="+mn-ea"/>
                  <a:cs typeface="+mn-cs"/>
                </a:defRPr>
              </a:pPr>
              <a:endParaRPr lang="es-CO"/>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6"/>
        <c:spPr>
          <a:gradFill>
            <a:gsLst>
              <a:gs pos="57000">
                <a:srgbClr val="389558"/>
              </a:gs>
              <a:gs pos="9000">
                <a:srgbClr val="4EA72E">
                  <a:lumMod val="60000"/>
                  <a:lumOff val="40000"/>
                </a:srgbClr>
              </a:gs>
            </a:gsLst>
            <a:path path="circle">
              <a:fillToRect l="100000" t="100000"/>
            </a:path>
          </a:gra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0.26743067408774251"/>
              <c:y val="0"/>
            </c:manualLayout>
          </c:layout>
          <c:numFmt formatCode="&quot;R$&quot;\ #,##0" sourceLinked="0"/>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ln w="6350" cap="rnd">
                    <a:noFill/>
                    <a:round/>
                  </a:ln>
                  <a:solidFill>
                    <a:srgbClr val="389558"/>
                  </a:solidFill>
                  <a:latin typeface="+mn-lt"/>
                  <a:ea typeface="+mn-ea"/>
                  <a:cs typeface="+mn-cs"/>
                </a:defRPr>
              </a:pPr>
              <a:endParaRPr lang="es-CO"/>
            </a:p>
          </c:txPr>
          <c:dLblPos val="bestFit"/>
          <c:showLegendKey val="0"/>
          <c:showVal val="1"/>
          <c:showCatName val="1"/>
          <c:showSerName val="0"/>
          <c:showPercent val="0"/>
          <c:showBubbleSize val="0"/>
          <c:separator>
</c:separator>
          <c:extLst>
            <c:ext xmlns:c15="http://schemas.microsoft.com/office/drawing/2012/chart" uri="{CE6537A1-D6FC-4f65-9D91-7224C49458BB}">
              <c15:layout>
                <c:manualLayout>
                  <c:w val="0.25450840196699548"/>
                  <c:h val="0.42295487257641173"/>
                </c:manualLayout>
              </c15:layout>
            </c:ext>
          </c:extLst>
        </c:dLbl>
      </c:pivotFmt>
      <c:pivotFmt>
        <c:idx val="1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ln w="6350" cap="rnd">
                    <a:noFill/>
                    <a:round/>
                  </a:ln>
                  <a:solidFill>
                    <a:srgbClr val="389558"/>
                  </a:solidFill>
                  <a:latin typeface="+mn-lt"/>
                  <a:ea typeface="+mn-ea"/>
                  <a:cs typeface="+mn-cs"/>
                </a:defRPr>
              </a:pPr>
              <a:endParaRPr lang="es-CO"/>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2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2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2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2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ln w="6350" cap="rnd">
                    <a:noFill/>
                    <a:round/>
                  </a:ln>
                  <a:solidFill>
                    <a:srgbClr val="389558"/>
                  </a:solidFill>
                  <a:latin typeface="+mn-lt"/>
                  <a:ea typeface="+mn-ea"/>
                  <a:cs typeface="+mn-cs"/>
                </a:defRPr>
              </a:pPr>
              <a:endParaRPr lang="es-CO"/>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24"/>
        <c:spPr>
          <a:gradFill>
            <a:gsLst>
              <a:gs pos="57000">
                <a:srgbClr val="FF3737"/>
              </a:gs>
              <a:gs pos="9000">
                <a:srgbClr val="FF6969"/>
              </a:gs>
            </a:gsLst>
            <a:path path="circle">
              <a:fillToRect l="100000" t="100000"/>
            </a:path>
          </a:gra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numFmt formatCode="&quot;$&quot;#,##0" sourceLinked="0"/>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ln w="6350" cap="rnd">
                    <a:noFill/>
                    <a:round/>
                  </a:ln>
                  <a:solidFill>
                    <a:srgbClr val="FF4343"/>
                  </a:solidFill>
                  <a:latin typeface="+mn-lt"/>
                  <a:ea typeface="+mn-ea"/>
                  <a:cs typeface="+mn-cs"/>
                </a:defRPr>
              </a:pPr>
              <a:endParaRPr lang="es-CO"/>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25"/>
        <c:spPr>
          <a:gradFill>
            <a:gsLst>
              <a:gs pos="57000">
                <a:srgbClr val="389558"/>
              </a:gs>
              <a:gs pos="9000">
                <a:srgbClr val="4EA72E">
                  <a:lumMod val="60000"/>
                  <a:lumOff val="40000"/>
                </a:srgbClr>
              </a:gs>
            </a:gsLst>
            <a:path path="circle">
              <a:fillToRect l="100000" t="100000"/>
            </a:path>
          </a:gra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1.4303389188068113E-7"/>
              <c:y val="0.10029503184216285"/>
            </c:manualLayout>
          </c:layout>
          <c:numFmt formatCode="&quot;$&quot;#,##0" sourceLinked="0"/>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ln w="6350" cap="rnd">
                    <a:noFill/>
                    <a:round/>
                  </a:ln>
                  <a:solidFill>
                    <a:srgbClr val="389558"/>
                  </a:solidFill>
                  <a:latin typeface="+mn-lt"/>
                  <a:ea typeface="+mn-ea"/>
                  <a:cs typeface="+mn-cs"/>
                </a:defRPr>
              </a:pPr>
              <a:endParaRPr lang="es-CO"/>
            </a:p>
          </c:txPr>
          <c:dLblPos val="bestFit"/>
          <c:showLegendKey val="0"/>
          <c:showVal val="1"/>
          <c:showCatName val="1"/>
          <c:showSerName val="0"/>
          <c:showPercent val="0"/>
          <c:showBubbleSize val="0"/>
          <c:separator>
</c:separator>
          <c:extLst>
            <c:ext xmlns:c15="http://schemas.microsoft.com/office/drawing/2012/chart" uri="{CE6537A1-D6FC-4f65-9D91-7224C49458BB}">
              <c15:layout>
                <c:manualLayout>
                  <c:w val="0.25450840196699548"/>
                  <c:h val="0.42295487257641173"/>
                </c:manualLayout>
              </c15:layout>
            </c:ext>
          </c:extLst>
        </c:dLbl>
      </c:pivotFmt>
      <c:pivotFmt>
        <c:idx val="2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numFmt formatCode="\$\ #,##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ln w="6350" cap="rnd">
                    <a:noFill/>
                    <a:round/>
                  </a:ln>
                  <a:solidFill>
                    <a:srgbClr val="389558"/>
                  </a:solidFill>
                  <a:latin typeface="+mn-lt"/>
                  <a:ea typeface="+mn-ea"/>
                  <a:cs typeface="+mn-cs"/>
                </a:defRPr>
              </a:pPr>
              <a:endParaRPr lang="es-CO"/>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27"/>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ln w="6350" cap="rnd">
                    <a:noFill/>
                    <a:round/>
                  </a:ln>
                  <a:solidFill>
                    <a:srgbClr val="389558"/>
                  </a:solidFill>
                  <a:latin typeface="+mn-lt"/>
                  <a:ea typeface="+mn-ea"/>
                  <a:cs typeface="+mn-cs"/>
                </a:defRPr>
              </a:pPr>
              <a:endParaRPr lang="es-CO"/>
            </a:p>
          </c:txPr>
          <c:dLblPos val="outEnd"/>
          <c:showLegendKey val="0"/>
          <c:showVal val="1"/>
          <c:showCatName val="1"/>
          <c:showSerName val="0"/>
          <c:showPercent val="0"/>
          <c:showBubbleSize val="0"/>
          <c:separator>
</c:separator>
          <c:extLst>
            <c:ext xmlns:c15="http://schemas.microsoft.com/office/drawing/2012/chart" uri="{CE6537A1-D6FC-4f65-9D91-7224C49458BB}">
              <c15:xForSave val="1"/>
            </c:ext>
          </c:extLst>
        </c:dLbl>
      </c:pivotFmt>
      <c:pivotFmt>
        <c:idx val="2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ln w="6350" cap="rnd">
                    <a:noFill/>
                    <a:round/>
                  </a:ln>
                  <a:solidFill>
                    <a:srgbClr val="389558"/>
                  </a:solidFill>
                  <a:latin typeface="+mn-lt"/>
                  <a:ea typeface="+mn-ea"/>
                  <a:cs typeface="+mn-cs"/>
                </a:defRPr>
              </a:pPr>
              <a:endParaRPr lang="es-CO"/>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29"/>
        <c:spPr>
          <a:gradFill>
            <a:gsLst>
              <a:gs pos="57000">
                <a:srgbClr val="FF3737"/>
              </a:gs>
              <a:gs pos="9000">
                <a:srgbClr val="FF6969"/>
              </a:gs>
            </a:gsLst>
            <a:path path="circle">
              <a:fillToRect l="100000" t="100000"/>
            </a:path>
          </a:gra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numFmt formatCode="&quot;$&quot;#,##0" sourceLinked="0"/>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ln w="6350" cap="rnd">
                    <a:noFill/>
                    <a:round/>
                  </a:ln>
                  <a:solidFill>
                    <a:srgbClr val="FF4343"/>
                  </a:solidFill>
                  <a:latin typeface="+mn-lt"/>
                  <a:ea typeface="+mn-ea"/>
                  <a:cs typeface="+mn-cs"/>
                </a:defRPr>
              </a:pPr>
              <a:endParaRPr lang="es-CO"/>
            </a:p>
          </c:txPr>
          <c:dLblPos val="outEnd"/>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15:layout/>
            </c:ext>
          </c:extLst>
        </c:dLbl>
      </c:pivotFmt>
      <c:pivotFmt>
        <c:idx val="30"/>
        <c:spPr>
          <a:gradFill>
            <a:gsLst>
              <a:gs pos="57000">
                <a:srgbClr val="389558"/>
              </a:gs>
              <a:gs pos="9000">
                <a:srgbClr val="4EA72E">
                  <a:lumMod val="60000"/>
                  <a:lumOff val="40000"/>
                </a:srgbClr>
              </a:gs>
            </a:gsLst>
            <a:path path="circle">
              <a:fillToRect l="100000" t="100000"/>
            </a:path>
          </a:gra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1.4303389188068113E-7"/>
              <c:y val="0.10029503184216285"/>
            </c:manualLayout>
          </c:layout>
          <c:numFmt formatCode="&quot;$&quot;#,##0" sourceLinked="0"/>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ln w="6350" cap="rnd">
                    <a:noFill/>
                    <a:round/>
                  </a:ln>
                  <a:solidFill>
                    <a:srgbClr val="389558"/>
                  </a:solidFill>
                  <a:latin typeface="+mn-lt"/>
                  <a:ea typeface="+mn-ea"/>
                  <a:cs typeface="+mn-cs"/>
                </a:defRPr>
              </a:pPr>
              <a:endParaRPr lang="es-CO"/>
            </a:p>
          </c:txPr>
          <c:dLblPos val="bestFit"/>
          <c:showLegendKey val="0"/>
          <c:showVal val="1"/>
          <c:showCatName val="1"/>
          <c:showSerName val="0"/>
          <c:showPercent val="0"/>
          <c:showBubbleSize val="0"/>
          <c:separator>
</c:separator>
          <c:extLst>
            <c:ext xmlns:c15="http://schemas.microsoft.com/office/drawing/2012/chart" uri="{CE6537A1-D6FC-4f65-9D91-7224C49458BB}">
              <c15:layout>
                <c:manualLayout>
                  <c:w val="0.25450840196699548"/>
                  <c:h val="0.42295487257641173"/>
                </c:manualLayout>
              </c15:layout>
            </c:ext>
          </c:extLst>
        </c:dLbl>
      </c:pivotFmt>
      <c:pivotFmt>
        <c:idx val="3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ln w="6350" cap="rnd">
                    <a:noFill/>
                    <a:round/>
                  </a:ln>
                  <a:solidFill>
                    <a:srgbClr val="389558"/>
                  </a:solidFill>
                  <a:latin typeface="+mn-lt"/>
                  <a:ea typeface="+mn-ea"/>
                  <a:cs typeface="+mn-cs"/>
                </a:defRPr>
              </a:pPr>
              <a:endParaRPr lang="es-CO"/>
            </a:p>
          </c:txPr>
          <c:dLblPos val="outEnd"/>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8261393780085952"/>
          <c:y val="0.31995657169359853"/>
          <c:w val="0.63381706755229916"/>
          <c:h val="0.56483782900631396"/>
        </c:manualLayout>
      </c:layout>
      <c:pie3DChart>
        <c:varyColors val="1"/>
        <c:ser>
          <c:idx val="0"/>
          <c:order val="0"/>
          <c:tx>
            <c:strRef>
              <c:f>Movimientos!$B$3</c:f>
              <c:strCache>
                <c:ptCount val="1"/>
                <c:pt idx="0">
                  <c:v>Total</c:v>
                </c:pt>
              </c:strCache>
            </c:strRef>
          </c:tx>
          <c:explosion val="5"/>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9233-488A-B17F-9AFE5C3831FD}"/>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9233-488A-B17F-9AFE5C3831FD}"/>
              </c:ext>
            </c:extLst>
          </c:dPt>
          <c:dLbls>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ln w="6350" cap="rnd">
                        <a:noFill/>
                        <a:round/>
                      </a:ln>
                      <a:solidFill>
                        <a:srgbClr val="389558"/>
                      </a:solidFill>
                      <a:latin typeface="+mn-lt"/>
                      <a:ea typeface="+mn-ea"/>
                      <a:cs typeface="+mn-cs"/>
                    </a:defRPr>
                  </a:pPr>
                  <a:endParaRPr lang="es-CO"/>
                </a:p>
              </c:txPr>
              <c:dLblPos val="outEnd"/>
              <c:showLegendKey val="0"/>
              <c:showVal val="1"/>
              <c:showCatName val="1"/>
              <c:showSerName val="0"/>
              <c:showPercent val="0"/>
              <c:showBubbleSize val="0"/>
              <c:extLst>
                <c:ext xmlns:c16="http://schemas.microsoft.com/office/drawing/2014/chart" uri="{C3380CC4-5D6E-409C-BE32-E72D297353CC}">
                  <c16:uniqueId val="{00000001-9233-488A-B17F-9AFE5C3831FD}"/>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ln w="6350" cap="rnd">
                      <a:noFill/>
                      <a:round/>
                    </a:ln>
                    <a:solidFill>
                      <a:srgbClr val="389558"/>
                    </a:solidFill>
                    <a:latin typeface="+mn-lt"/>
                    <a:ea typeface="+mn-ea"/>
                    <a:cs typeface="+mn-cs"/>
                  </a:defRPr>
                </a:pPr>
                <a:endParaRPr lang="es-CO"/>
              </a:p>
            </c:txPr>
            <c:dLblPos val="outEnd"/>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Movimientos!$A$4</c:f>
              <c:strCache>
                <c:ptCount val="1"/>
                <c:pt idx="0">
                  <c:v>Total general</c:v>
                </c:pt>
              </c:strCache>
            </c:strRef>
          </c:cat>
          <c:val>
            <c:numRef>
              <c:f>Movimientos!$B$4</c:f>
              <c:numCache>
                <c:formatCode>"R$"\ #,##0.00</c:formatCode>
                <c:ptCount val="1"/>
              </c:numCache>
            </c:numRef>
          </c:val>
          <c:extLst>
            <c:ext xmlns:c16="http://schemas.microsoft.com/office/drawing/2014/chart" uri="{C3380CC4-5D6E-409C-BE32-E72D297353CC}">
              <c16:uniqueId val="{00000004-9233-488A-B17F-9AFE5C3831FD}"/>
            </c:ext>
          </c:extLst>
        </c:ser>
        <c:dLbls>
          <c:dLblPos val="outEnd"/>
          <c:showLegendKey val="0"/>
          <c:showVal val="0"/>
          <c:showCatName val="1"/>
          <c:showSerName val="0"/>
          <c:showPercent val="0"/>
          <c:showBubbleSize val="0"/>
          <c:showLeaderLines val="1"/>
        </c:dLbls>
      </c:pie3DChart>
      <c:spPr>
        <a:noFill/>
        <a:ln w="25400">
          <a:noFill/>
        </a:ln>
        <a:effectLst/>
      </c:spPr>
    </c:plotArea>
    <c:plotVisOnly val="1"/>
    <c:dispBlanksAs val="gap"/>
    <c:showDLblsOverMax val="0"/>
    <c:extLst/>
  </c:chart>
  <c:spPr>
    <a:noFill/>
    <a:ln w="9525" cap="flat" cmpd="sng" algn="ctr">
      <a:noFill/>
      <a:round/>
    </a:ln>
    <a:effectLst/>
  </c:spPr>
  <c:txPr>
    <a:bodyPr/>
    <a:lstStyle/>
    <a:p>
      <a:pPr>
        <a:defRPr/>
      </a:pPr>
      <a:endParaRPr lang="es-CO"/>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[Control de Finanzas (1).xlsm]Categorías!Tabela dinâmica1</c:name>
    <c:fmtId val="5"/>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1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2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2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2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2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2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2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2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2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2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2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3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31"/>
        <c:spPr>
          <a:solidFill>
            <a:schemeClr val="accent1"/>
          </a:solidFill>
          <a:ln>
            <a:noFill/>
          </a:ln>
          <a:effectLst>
            <a:softEdge rad="25400"/>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pivotFmt>
      <c:pivotFmt>
        <c:idx val="38"/>
        <c:spPr>
          <a:gradFill flip="none" rotWithShape="1">
            <a:gsLst>
              <a:gs pos="0">
                <a:srgbClr val="27A936"/>
              </a:gs>
              <a:gs pos="100000">
                <a:schemeClr val="accent3">
                  <a:lumMod val="50000"/>
                </a:schemeClr>
              </a:gs>
            </a:gsLst>
            <a:lin ang="5400000" scaled="0"/>
            <a:tileRect/>
          </a:gradFill>
          <a:ln>
            <a:noFill/>
          </a:ln>
          <a:effectLst>
            <a:softEdge rad="25400"/>
          </a:effectLst>
        </c:spPr>
      </c:pivotFmt>
      <c:pivotFmt>
        <c:idx val="39"/>
        <c:spPr>
          <a:gradFill>
            <a:gsLst>
              <a:gs pos="0">
                <a:srgbClr val="FF4343"/>
              </a:gs>
              <a:gs pos="100000">
                <a:srgbClr val="C00000"/>
              </a:gs>
            </a:gsLst>
            <a:lin ang="5400000" scaled="0"/>
          </a:gradFill>
          <a:ln>
            <a:noFill/>
          </a:ln>
          <a:effectLst>
            <a:softEdge rad="25400"/>
          </a:effectLst>
        </c:spPr>
      </c:pivotFmt>
      <c:pivotFmt>
        <c:idx val="40"/>
        <c:spPr>
          <a:gradFill>
            <a:gsLst>
              <a:gs pos="0">
                <a:srgbClr val="FFFF81"/>
              </a:gs>
              <a:gs pos="100000">
                <a:srgbClr val="C09200"/>
              </a:gs>
            </a:gsLst>
            <a:lin ang="5400000" scaled="0"/>
          </a:gradFill>
          <a:ln>
            <a:noFill/>
          </a:ln>
          <a:effectLst>
            <a:softEdge rad="25400"/>
          </a:effectLst>
        </c:spPr>
      </c:pivotFmt>
      <c:pivotFmt>
        <c:idx val="41"/>
        <c:spPr>
          <a:gradFill>
            <a:gsLst>
              <a:gs pos="0">
                <a:srgbClr val="00B0F0"/>
              </a:gs>
              <a:gs pos="100000">
                <a:srgbClr val="002060"/>
              </a:gs>
            </a:gsLst>
            <a:lin ang="5400000" scaled="0"/>
          </a:gradFill>
          <a:ln>
            <a:noFill/>
          </a:ln>
          <a:effectLst>
            <a:softEdge rad="25400"/>
          </a:effectLst>
        </c:spPr>
      </c:pivotFmt>
      <c:pivotFmt>
        <c:idx val="42"/>
        <c:spPr>
          <a:gradFill>
            <a:gsLst>
              <a:gs pos="0">
                <a:schemeClr val="accent5">
                  <a:lumMod val="60000"/>
                  <a:lumOff val="40000"/>
                </a:schemeClr>
              </a:gs>
              <a:gs pos="100000">
                <a:srgbClr val="7030A0"/>
              </a:gs>
            </a:gsLst>
            <a:lin ang="5400000" scaled="0"/>
          </a:gradFill>
          <a:ln>
            <a:noFill/>
          </a:ln>
          <a:effectLst>
            <a:softEdge rad="25400"/>
          </a:effectLst>
        </c:spPr>
      </c:pivotFmt>
      <c:pivotFmt>
        <c:idx val="43"/>
        <c:spPr>
          <a:gradFill>
            <a:gsLst>
              <a:gs pos="0">
                <a:schemeClr val="accent2">
                  <a:lumMod val="60000"/>
                  <a:lumOff val="40000"/>
                </a:schemeClr>
              </a:gs>
              <a:gs pos="100000">
                <a:schemeClr val="accent2">
                  <a:lumMod val="50000"/>
                </a:schemeClr>
              </a:gs>
            </a:gsLst>
            <a:lin ang="5400000" scaled="0"/>
          </a:gradFill>
          <a:ln>
            <a:noFill/>
          </a:ln>
          <a:effectLst>
            <a:softEdge rad="25400"/>
          </a:effectLst>
        </c:spPr>
      </c:pivotFmt>
      <c:pivotFmt>
        <c:idx val="44"/>
        <c:spPr>
          <a:solidFill>
            <a:schemeClr val="accent1"/>
          </a:solidFill>
          <a:ln>
            <a:noFill/>
          </a:ln>
          <a:effectLst>
            <a:softEdge rad="25400"/>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45"/>
        <c:spPr>
          <a:gradFill flip="none" rotWithShape="1">
            <a:gsLst>
              <a:gs pos="0">
                <a:srgbClr val="27A936"/>
              </a:gs>
              <a:gs pos="100000">
                <a:schemeClr val="accent3">
                  <a:lumMod val="50000"/>
                </a:schemeClr>
              </a:gs>
            </a:gsLst>
            <a:lin ang="5400000" scaled="0"/>
            <a:tileRect/>
          </a:gradFill>
          <a:ln>
            <a:noFill/>
          </a:ln>
          <a:effectLst>
            <a:softEdge rad="25400"/>
          </a:effectLst>
        </c:spPr>
      </c:pivotFmt>
      <c:pivotFmt>
        <c:idx val="46"/>
        <c:spPr>
          <a:gradFill>
            <a:gsLst>
              <a:gs pos="0">
                <a:srgbClr val="FF4343"/>
              </a:gs>
              <a:gs pos="100000">
                <a:srgbClr val="C00000"/>
              </a:gs>
            </a:gsLst>
            <a:lin ang="5400000" scaled="0"/>
          </a:gradFill>
          <a:ln>
            <a:noFill/>
          </a:ln>
          <a:effectLst>
            <a:softEdge rad="25400"/>
          </a:effectLst>
        </c:spPr>
      </c:pivotFmt>
      <c:pivotFmt>
        <c:idx val="47"/>
        <c:spPr>
          <a:gradFill>
            <a:gsLst>
              <a:gs pos="0">
                <a:srgbClr val="FFFF81"/>
              </a:gs>
              <a:gs pos="100000">
                <a:srgbClr val="C09200"/>
              </a:gs>
            </a:gsLst>
            <a:lin ang="5400000" scaled="0"/>
          </a:gradFill>
          <a:ln>
            <a:noFill/>
          </a:ln>
          <a:effectLst>
            <a:softEdge rad="25400"/>
          </a:effectLst>
        </c:spPr>
      </c:pivotFmt>
      <c:pivotFmt>
        <c:idx val="48"/>
        <c:spPr>
          <a:gradFill>
            <a:gsLst>
              <a:gs pos="0">
                <a:srgbClr val="00B0F0"/>
              </a:gs>
              <a:gs pos="100000">
                <a:srgbClr val="002060"/>
              </a:gs>
            </a:gsLst>
            <a:lin ang="5400000" scaled="0"/>
          </a:gradFill>
          <a:ln>
            <a:noFill/>
          </a:ln>
          <a:effectLst>
            <a:softEdge rad="25400"/>
          </a:effectLst>
        </c:spPr>
      </c:pivotFmt>
      <c:pivotFmt>
        <c:idx val="49"/>
        <c:spPr>
          <a:gradFill>
            <a:gsLst>
              <a:gs pos="0">
                <a:schemeClr val="accent5">
                  <a:lumMod val="60000"/>
                  <a:lumOff val="40000"/>
                </a:schemeClr>
              </a:gs>
              <a:gs pos="100000">
                <a:srgbClr val="7030A0"/>
              </a:gs>
            </a:gsLst>
            <a:lin ang="5400000" scaled="0"/>
          </a:gradFill>
          <a:ln>
            <a:noFill/>
          </a:ln>
          <a:effectLst>
            <a:softEdge rad="25400"/>
          </a:effectLst>
        </c:spPr>
      </c:pivotFmt>
      <c:pivotFmt>
        <c:idx val="50"/>
        <c:spPr>
          <a:gradFill>
            <a:gsLst>
              <a:gs pos="0">
                <a:schemeClr val="accent2">
                  <a:lumMod val="60000"/>
                  <a:lumOff val="40000"/>
                </a:schemeClr>
              </a:gs>
              <a:gs pos="100000">
                <a:schemeClr val="accent2">
                  <a:lumMod val="50000"/>
                </a:schemeClr>
              </a:gs>
            </a:gsLst>
            <a:lin ang="5400000" scaled="0"/>
          </a:gradFill>
          <a:ln>
            <a:noFill/>
          </a:ln>
          <a:effectLst>
            <a:softEdge rad="25400"/>
          </a:effectLst>
        </c:spPr>
      </c:pivotFmt>
      <c:pivotFmt>
        <c:idx val="51"/>
        <c:spPr>
          <a:solidFill>
            <a:schemeClr val="accent1"/>
          </a:solidFill>
          <a:ln>
            <a:noFill/>
          </a:ln>
          <a:effectLst>
            <a:softEdge rad="25400"/>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52"/>
        <c:spPr>
          <a:gradFill flip="none" rotWithShape="1">
            <a:gsLst>
              <a:gs pos="0">
                <a:srgbClr val="27A936"/>
              </a:gs>
              <a:gs pos="100000">
                <a:schemeClr val="accent3">
                  <a:lumMod val="50000"/>
                </a:schemeClr>
              </a:gs>
            </a:gsLst>
            <a:lin ang="5400000" scaled="0"/>
            <a:tileRect/>
          </a:gradFill>
          <a:ln>
            <a:noFill/>
          </a:ln>
          <a:effectLst>
            <a:softEdge rad="25400"/>
          </a:effectLst>
        </c:spPr>
      </c:pivotFmt>
      <c:pivotFmt>
        <c:idx val="53"/>
        <c:spPr>
          <a:gradFill>
            <a:gsLst>
              <a:gs pos="0">
                <a:srgbClr val="FF4343"/>
              </a:gs>
              <a:gs pos="100000">
                <a:srgbClr val="C00000"/>
              </a:gs>
            </a:gsLst>
            <a:lin ang="5400000" scaled="0"/>
          </a:gradFill>
          <a:ln>
            <a:noFill/>
          </a:ln>
          <a:effectLst>
            <a:softEdge rad="25400"/>
          </a:effectLst>
        </c:spPr>
      </c:pivotFmt>
      <c:pivotFmt>
        <c:idx val="54"/>
        <c:spPr>
          <a:gradFill>
            <a:gsLst>
              <a:gs pos="0">
                <a:srgbClr val="FFFF81"/>
              </a:gs>
              <a:gs pos="100000">
                <a:srgbClr val="C09200"/>
              </a:gs>
            </a:gsLst>
            <a:lin ang="5400000" scaled="0"/>
          </a:gradFill>
          <a:ln>
            <a:noFill/>
          </a:ln>
          <a:effectLst>
            <a:softEdge rad="25400"/>
          </a:effectLst>
        </c:spPr>
      </c:pivotFmt>
      <c:pivotFmt>
        <c:idx val="55"/>
        <c:spPr>
          <a:gradFill>
            <a:gsLst>
              <a:gs pos="0">
                <a:srgbClr val="00B0F0"/>
              </a:gs>
              <a:gs pos="100000">
                <a:srgbClr val="002060"/>
              </a:gs>
            </a:gsLst>
            <a:lin ang="5400000" scaled="0"/>
          </a:gradFill>
          <a:ln>
            <a:noFill/>
          </a:ln>
          <a:effectLst>
            <a:softEdge rad="25400"/>
          </a:effectLst>
        </c:spPr>
      </c:pivotFmt>
      <c:pivotFmt>
        <c:idx val="56"/>
        <c:spPr>
          <a:gradFill>
            <a:gsLst>
              <a:gs pos="0">
                <a:schemeClr val="accent5">
                  <a:lumMod val="60000"/>
                  <a:lumOff val="40000"/>
                </a:schemeClr>
              </a:gs>
              <a:gs pos="100000">
                <a:srgbClr val="7030A0"/>
              </a:gs>
            </a:gsLst>
            <a:lin ang="5400000" scaled="0"/>
          </a:gradFill>
          <a:ln>
            <a:noFill/>
          </a:ln>
          <a:effectLst>
            <a:softEdge rad="25400"/>
          </a:effectLst>
        </c:spPr>
      </c:pivotFmt>
      <c:pivotFmt>
        <c:idx val="57"/>
        <c:spPr>
          <a:gradFill>
            <a:gsLst>
              <a:gs pos="0">
                <a:schemeClr val="accent2">
                  <a:lumMod val="60000"/>
                  <a:lumOff val="40000"/>
                </a:schemeClr>
              </a:gs>
              <a:gs pos="100000">
                <a:schemeClr val="accent2">
                  <a:lumMod val="50000"/>
                </a:schemeClr>
              </a:gs>
            </a:gsLst>
            <a:lin ang="5400000" scaled="0"/>
          </a:gradFill>
          <a:ln>
            <a:noFill/>
          </a:ln>
          <a:effectLst>
            <a:softEdge rad="25400"/>
          </a:effectLst>
        </c:spPr>
      </c:pivotFmt>
      <c:pivotFmt>
        <c:idx val="58"/>
        <c:spPr>
          <a:solidFill>
            <a:schemeClr val="accent1"/>
          </a:solidFill>
          <a:ln>
            <a:noFill/>
          </a:ln>
          <a:effectLst>
            <a:softEdge rad="25400"/>
          </a:effectLst>
        </c:spPr>
      </c:pivotFmt>
      <c:pivotFmt>
        <c:idx val="59"/>
        <c:spPr>
          <a:solidFill>
            <a:schemeClr val="accent1"/>
          </a:solidFill>
          <a:ln>
            <a:noFill/>
          </a:ln>
          <a:effectLst>
            <a:softEdge rad="25400"/>
          </a:effectLst>
        </c:spPr>
      </c:pivotFmt>
      <c:pivotFmt>
        <c:idx val="60"/>
        <c:spPr>
          <a:solidFill>
            <a:schemeClr val="accent1"/>
          </a:solidFill>
          <a:ln>
            <a:noFill/>
          </a:ln>
          <a:effectLst>
            <a:softEdge rad="25400"/>
          </a:effectLst>
        </c:spPr>
        <c:dLbl>
          <c:idx val="0"/>
          <c:numFmt formatCode="&quot;R$&quot;\ #,##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61"/>
        <c:spPr>
          <a:gradFill flip="none" rotWithShape="1">
            <a:gsLst>
              <a:gs pos="0">
                <a:srgbClr val="27A936"/>
              </a:gs>
              <a:gs pos="100000">
                <a:schemeClr val="accent3">
                  <a:lumMod val="50000"/>
                </a:schemeClr>
              </a:gs>
            </a:gsLst>
            <a:lin ang="5400000" scaled="0"/>
            <a:tileRect/>
          </a:gradFill>
          <a:ln>
            <a:noFill/>
          </a:ln>
          <a:effectLst>
            <a:softEdge rad="25400"/>
          </a:effectLst>
        </c:spPr>
      </c:pivotFmt>
      <c:pivotFmt>
        <c:idx val="62"/>
        <c:spPr>
          <a:gradFill>
            <a:gsLst>
              <a:gs pos="0">
                <a:srgbClr val="FF4343"/>
              </a:gs>
              <a:gs pos="100000">
                <a:srgbClr val="C00000"/>
              </a:gs>
            </a:gsLst>
            <a:lin ang="5400000" scaled="0"/>
          </a:gradFill>
          <a:ln>
            <a:noFill/>
          </a:ln>
          <a:effectLst>
            <a:softEdge rad="25400"/>
          </a:effectLst>
        </c:spPr>
      </c:pivotFmt>
      <c:pivotFmt>
        <c:idx val="63"/>
        <c:spPr>
          <a:gradFill>
            <a:gsLst>
              <a:gs pos="0">
                <a:srgbClr val="FFFF81"/>
              </a:gs>
              <a:gs pos="100000">
                <a:srgbClr val="C09200"/>
              </a:gs>
            </a:gsLst>
            <a:lin ang="5400000" scaled="0"/>
          </a:gradFill>
          <a:ln>
            <a:noFill/>
          </a:ln>
          <a:effectLst>
            <a:softEdge rad="25400"/>
          </a:effectLst>
        </c:spPr>
      </c:pivotFmt>
      <c:pivotFmt>
        <c:idx val="64"/>
        <c:spPr>
          <a:gradFill>
            <a:gsLst>
              <a:gs pos="0">
                <a:srgbClr val="00B0F0"/>
              </a:gs>
              <a:gs pos="100000">
                <a:srgbClr val="002060"/>
              </a:gs>
            </a:gsLst>
            <a:lin ang="5400000" scaled="0"/>
          </a:gradFill>
          <a:ln>
            <a:noFill/>
          </a:ln>
          <a:effectLst>
            <a:softEdge rad="25400"/>
          </a:effectLst>
        </c:spPr>
      </c:pivotFmt>
      <c:pivotFmt>
        <c:idx val="65"/>
        <c:spPr>
          <a:gradFill>
            <a:gsLst>
              <a:gs pos="0">
                <a:schemeClr val="accent5">
                  <a:lumMod val="60000"/>
                  <a:lumOff val="40000"/>
                </a:schemeClr>
              </a:gs>
              <a:gs pos="100000">
                <a:srgbClr val="7030A0"/>
              </a:gs>
            </a:gsLst>
            <a:lin ang="5400000" scaled="0"/>
          </a:gradFill>
          <a:ln>
            <a:noFill/>
          </a:ln>
          <a:effectLst>
            <a:softEdge rad="25400"/>
          </a:effectLst>
        </c:spPr>
      </c:pivotFmt>
      <c:pivotFmt>
        <c:idx val="66"/>
        <c:spPr>
          <a:gradFill>
            <a:gsLst>
              <a:gs pos="0">
                <a:schemeClr val="accent2">
                  <a:lumMod val="60000"/>
                  <a:lumOff val="40000"/>
                </a:schemeClr>
              </a:gs>
              <a:gs pos="100000">
                <a:schemeClr val="accent2">
                  <a:lumMod val="50000"/>
                </a:schemeClr>
              </a:gs>
            </a:gsLst>
            <a:lin ang="5400000" scaled="0"/>
          </a:gradFill>
          <a:ln>
            <a:noFill/>
          </a:ln>
          <a:effectLst>
            <a:softEdge rad="25400"/>
          </a:effectLst>
        </c:spPr>
      </c:pivotFmt>
      <c:pivotFmt>
        <c:idx val="67"/>
        <c:spPr>
          <a:gradFill>
            <a:gsLst>
              <a:gs pos="3000">
                <a:srgbClr val="FF4343"/>
              </a:gs>
              <a:gs pos="100000">
                <a:srgbClr val="C00000"/>
              </a:gs>
            </a:gsLst>
            <a:lin ang="5400000" scaled="1"/>
          </a:gradFill>
          <a:ln>
            <a:noFill/>
          </a:ln>
          <a:effectLst>
            <a:softEdge rad="25400"/>
          </a:effectLst>
        </c:spPr>
      </c:pivotFmt>
      <c:pivotFmt>
        <c:idx val="68"/>
        <c:spPr>
          <a:gradFill>
            <a:gsLst>
              <a:gs pos="3000">
                <a:srgbClr val="E97132">
                  <a:lumMod val="60000"/>
                  <a:lumOff val="40000"/>
                </a:srgbClr>
              </a:gs>
              <a:gs pos="100000">
                <a:srgbClr val="E97132">
                  <a:lumMod val="50000"/>
                </a:srgbClr>
              </a:gs>
            </a:gsLst>
            <a:lin ang="5400000" scaled="1"/>
          </a:gradFill>
          <a:ln>
            <a:noFill/>
          </a:ln>
          <a:effectLst>
            <a:softEdge rad="25400"/>
          </a:effectLst>
        </c:spPr>
      </c:pivotFmt>
      <c:pivotFmt>
        <c:idx val="69"/>
        <c:spPr>
          <a:solidFill>
            <a:schemeClr val="accent1"/>
          </a:solidFill>
          <a:ln>
            <a:noFill/>
          </a:ln>
          <a:effectLst>
            <a:softEdge rad="25400"/>
          </a:effectLst>
        </c:spPr>
      </c:pivotFmt>
      <c:pivotFmt>
        <c:idx val="70"/>
        <c:spPr>
          <a:solidFill>
            <a:schemeClr val="accent1"/>
          </a:solidFill>
          <a:ln>
            <a:noFill/>
          </a:ln>
          <a:effectLst>
            <a:softEdge rad="25400"/>
          </a:effectLst>
        </c:spP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s-CO"/>
            </a:p>
          </c:txPr>
          <c:showLegendKey val="1"/>
          <c:showVal val="1"/>
          <c:showCatName val="1"/>
          <c:showSerName val="1"/>
          <c:showPercent val="1"/>
          <c:showBubbleSize val="1"/>
          <c:extLst>
            <c:ext xmlns:c15="http://schemas.microsoft.com/office/drawing/2012/chart" uri="{CE6537A1-D6FC-4f65-9D91-7224C49458BB}"/>
          </c:extLst>
        </c:dLbl>
      </c:pivotFmt>
      <c:pivotFmt>
        <c:idx val="71"/>
        <c:spPr>
          <a:gradFill flip="none" rotWithShape="1">
            <a:gsLst>
              <a:gs pos="0">
                <a:srgbClr val="27A936"/>
              </a:gs>
              <a:gs pos="100000">
                <a:schemeClr val="accent3">
                  <a:lumMod val="50000"/>
                </a:schemeClr>
              </a:gs>
            </a:gsLst>
            <a:lin ang="5400000" scaled="0"/>
            <a:tileRect/>
          </a:gradFill>
          <a:ln>
            <a:noFill/>
          </a:ln>
          <a:effectLst>
            <a:softEdge rad="25400"/>
          </a:effectLst>
        </c:spPr>
      </c:pivotFmt>
      <c:pivotFmt>
        <c:idx val="72"/>
        <c:spPr>
          <a:gradFill>
            <a:gsLst>
              <a:gs pos="0">
                <a:srgbClr val="FFFF81"/>
              </a:gs>
              <a:gs pos="100000">
                <a:srgbClr val="C09200"/>
              </a:gs>
            </a:gsLst>
            <a:lin ang="5400000" scaled="0"/>
          </a:gradFill>
          <a:ln>
            <a:noFill/>
          </a:ln>
          <a:effectLst>
            <a:softEdge rad="25400"/>
          </a:effectLst>
        </c:spPr>
      </c:pivotFmt>
      <c:pivotFmt>
        <c:idx val="73"/>
        <c:spPr>
          <a:solidFill>
            <a:schemeClr val="accent1"/>
          </a:solidFill>
          <a:ln>
            <a:noFill/>
          </a:ln>
          <a:effectLst>
            <a:softEdge rad="25400"/>
          </a:effectLst>
        </c:spPr>
      </c:pivotFmt>
      <c:pivotFmt>
        <c:idx val="74"/>
        <c:spPr>
          <a:solidFill>
            <a:schemeClr val="accent1"/>
          </a:solidFill>
          <a:ln>
            <a:noFill/>
          </a:ln>
          <a:effectLst>
            <a:softEdge rad="25400"/>
          </a:effectLst>
        </c:spPr>
      </c:pivotFmt>
      <c:pivotFmt>
        <c:idx val="75"/>
        <c:spPr>
          <a:solidFill>
            <a:schemeClr val="accent1"/>
          </a:solidFill>
          <a:ln>
            <a:noFill/>
          </a:ln>
          <a:effectLst>
            <a:softEdge rad="25400"/>
          </a:effectLst>
        </c:spPr>
      </c:pivotFmt>
      <c:pivotFmt>
        <c:idx val="76"/>
        <c:spPr>
          <a:solidFill>
            <a:schemeClr val="accent1"/>
          </a:solidFill>
          <a:ln>
            <a:noFill/>
          </a:ln>
          <a:effectLst>
            <a:softEdge rad="25400"/>
          </a:effectLst>
        </c:spPr>
      </c:pivotFmt>
      <c:pivotFmt>
        <c:idx val="77"/>
        <c:spPr>
          <a:solidFill>
            <a:schemeClr val="accent1"/>
          </a:solidFill>
          <a:ln>
            <a:noFill/>
          </a:ln>
          <a:effectLst>
            <a:softEdge rad="25400"/>
          </a:effectLst>
        </c:spPr>
      </c:pivotFmt>
      <c:pivotFmt>
        <c:idx val="78"/>
        <c:spPr>
          <a:solidFill>
            <a:schemeClr val="accent1"/>
          </a:solidFill>
          <a:ln>
            <a:noFill/>
          </a:ln>
          <a:effectLst>
            <a:softEdge rad="25400"/>
          </a:effectLst>
        </c:spPr>
      </c:pivotFmt>
      <c:pivotFmt>
        <c:idx val="79"/>
        <c:spPr>
          <a:solidFill>
            <a:schemeClr val="accent1"/>
          </a:solidFill>
          <a:ln>
            <a:noFill/>
          </a:ln>
          <a:effectLst>
            <a:softEdge rad="25400"/>
          </a:effectLst>
        </c:spPr>
        <c:marker>
          <c:symbol val="none"/>
        </c:marker>
        <c:dLbl>
          <c:idx val="0"/>
          <c:layout/>
          <c:numFmt formatCode="&quot;$&quot;#,##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80"/>
        <c:spPr>
          <a:gradFill>
            <a:gsLst>
              <a:gs pos="0">
                <a:srgbClr val="238D30"/>
              </a:gs>
              <a:gs pos="100000">
                <a:srgbClr val="196B24">
                  <a:lumMod val="50000"/>
                </a:srgbClr>
              </a:gs>
            </a:gsLst>
            <a:lin ang="5400000" scaled="0"/>
          </a:gradFill>
          <a:ln>
            <a:noFill/>
          </a:ln>
          <a:effectLst>
            <a:softEdge rad="25400"/>
          </a:effectLst>
        </c:spPr>
      </c:pivotFmt>
      <c:pivotFmt>
        <c:idx val="81"/>
        <c:spPr>
          <a:gradFill>
            <a:gsLst>
              <a:gs pos="0">
                <a:srgbClr val="F7B553"/>
              </a:gs>
              <a:gs pos="100000">
                <a:srgbClr val="FA5F00"/>
              </a:gs>
            </a:gsLst>
            <a:lin ang="5400000" scaled="0"/>
          </a:gradFill>
          <a:ln>
            <a:noFill/>
          </a:ln>
          <a:effectLst>
            <a:softEdge rad="25400"/>
          </a:effectLst>
        </c:spPr>
      </c:pivotFmt>
      <c:pivotFmt>
        <c:idx val="82"/>
        <c:spPr>
          <a:gradFill>
            <a:gsLst>
              <a:gs pos="0">
                <a:srgbClr val="31CF44"/>
              </a:gs>
              <a:gs pos="100000">
                <a:srgbClr val="1B7325"/>
              </a:gs>
            </a:gsLst>
            <a:lin ang="5400000" scaled="0"/>
          </a:gradFill>
          <a:ln>
            <a:noFill/>
          </a:ln>
          <a:effectLst>
            <a:softEdge rad="25400"/>
          </a:effectLst>
        </c:spPr>
      </c:pivotFmt>
      <c:pivotFmt>
        <c:idx val="83"/>
        <c:spPr>
          <a:gradFill>
            <a:gsLst>
              <a:gs pos="0">
                <a:srgbClr val="2DA5DB"/>
              </a:gs>
              <a:gs pos="100000">
                <a:srgbClr val="156082">
                  <a:lumMod val="50000"/>
                </a:srgbClr>
              </a:gs>
            </a:gsLst>
            <a:lin ang="5400000" scaled="0"/>
          </a:gradFill>
          <a:ln>
            <a:noFill/>
          </a:ln>
          <a:effectLst>
            <a:softEdge rad="25400"/>
          </a:effectLst>
        </c:spPr>
      </c:pivotFmt>
      <c:pivotFmt>
        <c:idx val="84"/>
        <c:spPr>
          <a:gradFill>
            <a:gsLst>
              <a:gs pos="0">
                <a:srgbClr val="B432A8"/>
              </a:gs>
              <a:gs pos="100000">
                <a:srgbClr val="A02B93">
                  <a:lumMod val="50000"/>
                </a:srgbClr>
              </a:gs>
            </a:gsLst>
            <a:lin ang="5400000" scaled="0"/>
          </a:gradFill>
          <a:ln>
            <a:noFill/>
          </a:ln>
          <a:effectLst>
            <a:softEdge rad="25400"/>
          </a:effectLst>
        </c:spPr>
      </c:pivotFmt>
      <c:pivotFmt>
        <c:idx val="85"/>
        <c:spPr>
          <a:gradFill>
            <a:gsLst>
              <a:gs pos="0">
                <a:srgbClr val="FFFF15"/>
              </a:gs>
              <a:gs pos="100000">
                <a:srgbClr val="FFC000"/>
              </a:gs>
            </a:gsLst>
            <a:lin ang="5400000" scaled="0"/>
          </a:gradFill>
          <a:ln>
            <a:noFill/>
          </a:ln>
          <a:effectLst>
            <a:softEdge rad="25400"/>
          </a:effectLst>
        </c:spPr>
      </c:pivotFmt>
      <c:pivotFmt>
        <c:idx val="86"/>
        <c:spPr>
          <a:gradFill>
            <a:gsLst>
              <a:gs pos="0">
                <a:srgbClr val="FF4747"/>
              </a:gs>
              <a:gs pos="100000">
                <a:srgbClr val="C00000"/>
              </a:gs>
            </a:gsLst>
            <a:lin ang="5400000" scaled="0"/>
          </a:gradFill>
          <a:ln>
            <a:noFill/>
          </a:ln>
          <a:effectLst>
            <a:softEdge rad="25400"/>
          </a:effectLst>
        </c:spPr>
      </c:pivotFmt>
      <c:pivotFmt>
        <c:idx val="87"/>
        <c:spPr>
          <a:gradFill>
            <a:gsLst>
              <a:gs pos="0">
                <a:srgbClr val="099B9F"/>
              </a:gs>
              <a:gs pos="100000">
                <a:srgbClr val="055557"/>
              </a:gs>
            </a:gsLst>
            <a:lin ang="5400000" scaled="0"/>
          </a:gradFill>
          <a:ln>
            <a:noFill/>
          </a:ln>
          <a:effectLst>
            <a:softEdge rad="25400"/>
          </a:effectLst>
        </c:spPr>
      </c:pivotFmt>
      <c:pivotFmt>
        <c:idx val="88"/>
        <c:spPr>
          <a:gradFill>
            <a:gsLst>
              <a:gs pos="0">
                <a:srgbClr val="CF5417"/>
              </a:gs>
              <a:gs pos="100000">
                <a:srgbClr val="E97132">
                  <a:lumMod val="50000"/>
                </a:srgbClr>
              </a:gs>
            </a:gsLst>
            <a:lin ang="5400000" scaled="0"/>
          </a:gradFill>
          <a:ln>
            <a:noFill/>
          </a:ln>
          <a:effectLst>
            <a:softEdge rad="25400"/>
          </a:effectLst>
        </c:spPr>
      </c:pivotFmt>
      <c:pivotFmt>
        <c:idx val="89"/>
        <c:spPr>
          <a:gradFill>
            <a:gsLst>
              <a:gs pos="0">
                <a:srgbClr val="A67A88"/>
              </a:gs>
              <a:gs pos="100000">
                <a:srgbClr val="5A3C45"/>
              </a:gs>
            </a:gsLst>
            <a:lin ang="5400000" scaled="0"/>
          </a:gradFill>
          <a:ln>
            <a:noFill/>
          </a:ln>
          <a:effectLst>
            <a:softEdge rad="25400"/>
          </a:effectLst>
        </c:spPr>
      </c:pivotFmt>
      <c:pivotFmt>
        <c:idx val="90"/>
        <c:spPr>
          <a:solidFill>
            <a:schemeClr val="accent1"/>
          </a:solidFill>
          <a:ln>
            <a:noFill/>
          </a:ln>
          <a:effectLst>
            <a:softEdge rad="25400"/>
          </a:effectLst>
        </c:spPr>
      </c:pivotFmt>
      <c:pivotFmt>
        <c:idx val="91"/>
        <c:spPr>
          <a:solidFill>
            <a:schemeClr val="accent1"/>
          </a:solidFill>
          <a:ln>
            <a:noFill/>
          </a:ln>
          <a:effectLst>
            <a:softEdge rad="25400"/>
          </a:effectLst>
        </c:spPr>
      </c:pivotFmt>
      <c:pivotFmt>
        <c:idx val="92"/>
        <c:spPr>
          <a:solidFill>
            <a:schemeClr val="accent1"/>
          </a:solidFill>
          <a:ln>
            <a:noFill/>
          </a:ln>
          <a:effectLst>
            <a:softEdge rad="25400"/>
          </a:effectLst>
        </c:spPr>
      </c:pivotFmt>
      <c:pivotFmt>
        <c:idx val="93"/>
        <c:spPr>
          <a:solidFill>
            <a:schemeClr val="accent1"/>
          </a:solidFill>
          <a:ln>
            <a:noFill/>
          </a:ln>
          <a:effectLst>
            <a:softEdge rad="25400"/>
          </a:effectLst>
        </c:spPr>
      </c:pivotFmt>
      <c:pivotFmt>
        <c:idx val="94"/>
        <c:spPr>
          <a:solidFill>
            <a:schemeClr val="accent1"/>
          </a:solidFill>
          <a:ln>
            <a:noFill/>
          </a:ln>
          <a:effectLst>
            <a:softEdge rad="25400"/>
          </a:effectLst>
        </c:spPr>
      </c:pivotFmt>
      <c:pivotFmt>
        <c:idx val="95"/>
        <c:spPr>
          <a:solidFill>
            <a:schemeClr val="accent1"/>
          </a:solidFill>
          <a:ln>
            <a:noFill/>
          </a:ln>
          <a:effectLst>
            <a:softEdge rad="25400"/>
          </a:effectLst>
        </c:spPr>
      </c:pivotFmt>
      <c:pivotFmt>
        <c:idx val="96"/>
        <c:spPr>
          <a:solidFill>
            <a:schemeClr val="accent1"/>
          </a:solidFill>
          <a:ln>
            <a:noFill/>
          </a:ln>
          <a:effectLst>
            <a:softEdge rad="25400"/>
          </a:effectLst>
        </c:spPr>
      </c:pivotFmt>
      <c:pivotFmt>
        <c:idx val="97"/>
        <c:spPr>
          <a:solidFill>
            <a:schemeClr val="accent1"/>
          </a:solidFill>
          <a:ln>
            <a:noFill/>
          </a:ln>
          <a:effectLst>
            <a:softEdge rad="25400"/>
          </a:effectLst>
        </c:spPr>
      </c:pivotFmt>
      <c:pivotFmt>
        <c:idx val="98"/>
        <c:spPr>
          <a:solidFill>
            <a:schemeClr val="accent1"/>
          </a:solidFill>
          <a:ln>
            <a:noFill/>
          </a:ln>
          <a:effectLst>
            <a:softEdge rad="25400"/>
          </a:effectLst>
        </c:spPr>
      </c:pivotFmt>
      <c:pivotFmt>
        <c:idx val="99"/>
        <c:spPr>
          <a:solidFill>
            <a:schemeClr val="accent1"/>
          </a:solidFill>
          <a:ln>
            <a:noFill/>
          </a:ln>
          <a:effectLst>
            <a:softEdge rad="25400"/>
          </a:effectLst>
        </c:spPr>
      </c:pivotFmt>
      <c:pivotFmt>
        <c:idx val="100"/>
        <c:spPr>
          <a:solidFill>
            <a:schemeClr val="accent1"/>
          </a:solidFill>
          <a:ln>
            <a:noFill/>
          </a:ln>
          <a:effectLst>
            <a:softEdge rad="25400"/>
          </a:effectLst>
        </c:spPr>
      </c:pivotFmt>
      <c:pivotFmt>
        <c:idx val="101"/>
        <c:spPr>
          <a:solidFill>
            <a:schemeClr val="accent1"/>
          </a:solidFill>
          <a:ln>
            <a:noFill/>
          </a:ln>
          <a:effectLst>
            <a:softEdge rad="25400"/>
          </a:effectLst>
        </c:spPr>
      </c:pivotFmt>
      <c:pivotFmt>
        <c:idx val="102"/>
        <c:spPr>
          <a:solidFill>
            <a:schemeClr val="accent1"/>
          </a:solidFill>
          <a:ln>
            <a:noFill/>
          </a:ln>
          <a:effectLst>
            <a:softEdge rad="25400"/>
          </a:effectLst>
        </c:spPr>
      </c:pivotFmt>
      <c:pivotFmt>
        <c:idx val="103"/>
        <c:spPr>
          <a:solidFill>
            <a:schemeClr val="accent1"/>
          </a:solidFill>
          <a:ln>
            <a:noFill/>
          </a:ln>
          <a:effectLst>
            <a:softEdge rad="25400"/>
          </a:effectLst>
        </c:spPr>
      </c:pivotFmt>
      <c:pivotFmt>
        <c:idx val="104"/>
        <c:spPr>
          <a:solidFill>
            <a:schemeClr val="accent1"/>
          </a:solidFill>
          <a:ln>
            <a:noFill/>
          </a:ln>
          <a:effectLst>
            <a:softEdge rad="25400"/>
          </a:effectLst>
        </c:spPr>
      </c:pivotFmt>
      <c:pivotFmt>
        <c:idx val="105"/>
        <c:spPr>
          <a:solidFill>
            <a:schemeClr val="accent1"/>
          </a:solidFill>
          <a:ln>
            <a:noFill/>
          </a:ln>
          <a:effectLst>
            <a:softEdge rad="25400"/>
          </a:effectLst>
        </c:spPr>
      </c:pivotFmt>
      <c:pivotFmt>
        <c:idx val="106"/>
        <c:spPr>
          <a:solidFill>
            <a:schemeClr val="accent1"/>
          </a:solidFill>
          <a:ln>
            <a:noFill/>
          </a:ln>
          <a:effectLst>
            <a:softEdge rad="25400"/>
          </a:effectLst>
        </c:spPr>
      </c:pivotFmt>
      <c:pivotFmt>
        <c:idx val="107"/>
        <c:spPr>
          <a:solidFill>
            <a:schemeClr val="accent1"/>
          </a:solidFill>
          <a:ln>
            <a:noFill/>
          </a:ln>
          <a:effectLst>
            <a:softEdge rad="25400"/>
          </a:effectLst>
        </c:spPr>
      </c:pivotFmt>
      <c:pivotFmt>
        <c:idx val="108"/>
        <c:spPr>
          <a:solidFill>
            <a:schemeClr val="accent1"/>
          </a:solidFill>
          <a:ln>
            <a:noFill/>
          </a:ln>
          <a:effectLst>
            <a:softEdge rad="25400"/>
          </a:effectLst>
        </c:spPr>
      </c:pivotFmt>
      <c:pivotFmt>
        <c:idx val="109"/>
        <c:spPr>
          <a:solidFill>
            <a:schemeClr val="accent1"/>
          </a:solidFill>
          <a:ln>
            <a:noFill/>
          </a:ln>
          <a:effectLst>
            <a:softEdge rad="25400"/>
          </a:effectLst>
        </c:spPr>
      </c:pivotFmt>
    </c:pivotFmts>
    <c:plotArea>
      <c:layout>
        <c:manualLayout>
          <c:layoutTarget val="inner"/>
          <c:xMode val="edge"/>
          <c:yMode val="edge"/>
          <c:x val="3.188405069404298E-2"/>
          <c:y val="2.2002594117050221E-2"/>
          <c:w val="0.93623189861191403"/>
          <c:h val="0.81409559058862802"/>
        </c:manualLayout>
      </c:layout>
      <c:barChart>
        <c:barDir val="col"/>
        <c:grouping val="clustered"/>
        <c:varyColors val="1"/>
        <c:ser>
          <c:idx val="0"/>
          <c:order val="0"/>
          <c:tx>
            <c:strRef>
              <c:f>Categorías!$B$3</c:f>
              <c:strCache>
                <c:ptCount val="1"/>
                <c:pt idx="0">
                  <c:v>Total</c:v>
                </c:pt>
              </c:strCache>
            </c:strRef>
          </c:tx>
          <c:spPr>
            <a:effectLst>
              <a:softEdge rad="25400"/>
            </a:effectLst>
          </c:spPr>
          <c:invertIfNegative val="0"/>
          <c:dPt>
            <c:idx val="0"/>
            <c:invertIfNegative val="0"/>
            <c:bubble3D val="0"/>
            <c:spPr>
              <a:solidFill>
                <a:schemeClr val="accent1"/>
              </a:solidFill>
              <a:ln>
                <a:noFill/>
              </a:ln>
              <a:effectLst>
                <a:softEdge rad="25400"/>
              </a:effectLst>
            </c:spPr>
            <c:extLst>
              <c:ext xmlns:c16="http://schemas.microsoft.com/office/drawing/2014/chart" uri="{C3380CC4-5D6E-409C-BE32-E72D297353CC}">
                <c16:uniqueId val="{00000001-7E6D-4394-855F-589371554123}"/>
              </c:ext>
            </c:extLst>
          </c:dPt>
          <c:dPt>
            <c:idx val="1"/>
            <c:invertIfNegative val="0"/>
            <c:bubble3D val="0"/>
            <c:spPr>
              <a:solidFill>
                <a:schemeClr val="accent2"/>
              </a:solidFill>
              <a:ln>
                <a:noFill/>
              </a:ln>
              <a:effectLst>
                <a:softEdge rad="25400"/>
              </a:effectLst>
            </c:spPr>
            <c:extLst>
              <c:ext xmlns:c16="http://schemas.microsoft.com/office/drawing/2014/chart" uri="{C3380CC4-5D6E-409C-BE32-E72D297353CC}">
                <c16:uniqueId val="{00000003-7E6D-4394-855F-589371554123}"/>
              </c:ext>
            </c:extLst>
          </c:dPt>
          <c:dPt>
            <c:idx val="2"/>
            <c:invertIfNegative val="0"/>
            <c:bubble3D val="0"/>
            <c:spPr>
              <a:solidFill>
                <a:schemeClr val="accent3"/>
              </a:solidFill>
              <a:ln>
                <a:noFill/>
              </a:ln>
              <a:effectLst>
                <a:softEdge rad="25400"/>
              </a:effectLst>
            </c:spPr>
            <c:extLst>
              <c:ext xmlns:c16="http://schemas.microsoft.com/office/drawing/2014/chart" uri="{C3380CC4-5D6E-409C-BE32-E72D297353CC}">
                <c16:uniqueId val="{00000005-7E6D-4394-855F-589371554123}"/>
              </c:ext>
            </c:extLst>
          </c:dPt>
          <c:dPt>
            <c:idx val="3"/>
            <c:invertIfNegative val="0"/>
            <c:bubble3D val="0"/>
            <c:spPr>
              <a:solidFill>
                <a:schemeClr val="accent4"/>
              </a:solidFill>
              <a:ln>
                <a:noFill/>
              </a:ln>
              <a:effectLst>
                <a:softEdge rad="25400"/>
              </a:effectLst>
            </c:spPr>
            <c:extLst>
              <c:ext xmlns:c16="http://schemas.microsoft.com/office/drawing/2014/chart" uri="{C3380CC4-5D6E-409C-BE32-E72D297353CC}">
                <c16:uniqueId val="{00000007-7E6D-4394-855F-589371554123}"/>
              </c:ext>
            </c:extLst>
          </c:dPt>
          <c:dPt>
            <c:idx val="4"/>
            <c:invertIfNegative val="0"/>
            <c:bubble3D val="0"/>
            <c:spPr>
              <a:solidFill>
                <a:schemeClr val="accent5"/>
              </a:solidFill>
              <a:ln>
                <a:noFill/>
              </a:ln>
              <a:effectLst>
                <a:softEdge rad="25400"/>
              </a:effectLst>
            </c:spPr>
            <c:extLst>
              <c:ext xmlns:c16="http://schemas.microsoft.com/office/drawing/2014/chart" uri="{C3380CC4-5D6E-409C-BE32-E72D297353CC}">
                <c16:uniqueId val="{00000009-7E6D-4394-855F-589371554123}"/>
              </c:ext>
            </c:extLst>
          </c:dPt>
          <c:dPt>
            <c:idx val="5"/>
            <c:invertIfNegative val="0"/>
            <c:bubble3D val="0"/>
            <c:spPr>
              <a:solidFill>
                <a:schemeClr val="accent6"/>
              </a:solidFill>
              <a:ln>
                <a:noFill/>
              </a:ln>
              <a:effectLst>
                <a:softEdge rad="25400"/>
              </a:effectLst>
            </c:spPr>
            <c:extLst>
              <c:ext xmlns:c16="http://schemas.microsoft.com/office/drawing/2014/chart" uri="{C3380CC4-5D6E-409C-BE32-E72D297353CC}">
                <c16:uniqueId val="{0000000B-7E6D-4394-855F-589371554123}"/>
              </c:ext>
            </c:extLst>
          </c:dPt>
          <c:dPt>
            <c:idx val="6"/>
            <c:invertIfNegative val="0"/>
            <c:bubble3D val="0"/>
            <c:spPr>
              <a:solidFill>
                <a:schemeClr val="accent1">
                  <a:lumMod val="60000"/>
                </a:schemeClr>
              </a:solidFill>
              <a:ln>
                <a:noFill/>
              </a:ln>
              <a:effectLst>
                <a:softEdge rad="25400"/>
              </a:effectLst>
            </c:spPr>
            <c:extLst>
              <c:ext xmlns:c16="http://schemas.microsoft.com/office/drawing/2014/chart" uri="{C3380CC4-5D6E-409C-BE32-E72D297353CC}">
                <c16:uniqueId val="{0000000D-7E6D-4394-855F-589371554123}"/>
              </c:ext>
            </c:extLst>
          </c:dPt>
          <c:dPt>
            <c:idx val="7"/>
            <c:invertIfNegative val="0"/>
            <c:bubble3D val="0"/>
            <c:spPr>
              <a:solidFill>
                <a:schemeClr val="accent2">
                  <a:lumMod val="60000"/>
                </a:schemeClr>
              </a:solidFill>
              <a:ln>
                <a:noFill/>
              </a:ln>
              <a:effectLst>
                <a:softEdge rad="25400"/>
              </a:effectLst>
            </c:spPr>
            <c:extLst>
              <c:ext xmlns:c16="http://schemas.microsoft.com/office/drawing/2014/chart" uri="{C3380CC4-5D6E-409C-BE32-E72D297353CC}">
                <c16:uniqueId val="{0000000F-7E6D-4394-855F-589371554123}"/>
              </c:ext>
            </c:extLst>
          </c:dPt>
          <c:dPt>
            <c:idx val="8"/>
            <c:invertIfNegative val="0"/>
            <c:bubble3D val="0"/>
            <c:spPr>
              <a:solidFill>
                <a:schemeClr val="accent3">
                  <a:lumMod val="60000"/>
                </a:schemeClr>
              </a:solidFill>
              <a:ln>
                <a:noFill/>
              </a:ln>
              <a:effectLst>
                <a:softEdge rad="25400"/>
              </a:effectLst>
            </c:spPr>
            <c:extLst>
              <c:ext xmlns:c16="http://schemas.microsoft.com/office/drawing/2014/chart" uri="{C3380CC4-5D6E-409C-BE32-E72D297353CC}">
                <c16:uniqueId val="{00000011-467A-480E-B0E0-00357E4B61DB}"/>
              </c:ext>
            </c:extLst>
          </c:dPt>
          <c:dPt>
            <c:idx val="9"/>
            <c:invertIfNegative val="0"/>
            <c:bubble3D val="0"/>
            <c:spPr>
              <a:solidFill>
                <a:schemeClr val="accent4">
                  <a:lumMod val="60000"/>
                </a:schemeClr>
              </a:solidFill>
              <a:ln>
                <a:noFill/>
              </a:ln>
              <a:effectLst>
                <a:softEdge rad="25400"/>
              </a:effectLst>
            </c:spPr>
            <c:extLst>
              <c:ext xmlns:c16="http://schemas.microsoft.com/office/drawing/2014/chart" uri="{C3380CC4-5D6E-409C-BE32-E72D297353CC}">
                <c16:uniqueId val="{00000013-467A-480E-B0E0-00357E4B61DB}"/>
              </c:ext>
            </c:extLst>
          </c:dPt>
          <c:dPt>
            <c:idx val="10"/>
            <c:invertIfNegative val="0"/>
            <c:bubble3D val="0"/>
            <c:spPr>
              <a:solidFill>
                <a:schemeClr val="accent5">
                  <a:lumMod val="60000"/>
                </a:schemeClr>
              </a:solidFill>
              <a:ln>
                <a:noFill/>
              </a:ln>
              <a:effectLst>
                <a:softEdge rad="25400"/>
              </a:effectLst>
            </c:spPr>
            <c:extLst>
              <c:ext xmlns:c16="http://schemas.microsoft.com/office/drawing/2014/chart" uri="{C3380CC4-5D6E-409C-BE32-E72D297353CC}">
                <c16:uniqueId val="{00000015-467A-480E-B0E0-00357E4B61DB}"/>
              </c:ext>
            </c:extLst>
          </c:dPt>
          <c:dPt>
            <c:idx val="11"/>
            <c:invertIfNegative val="0"/>
            <c:bubble3D val="0"/>
            <c:spPr>
              <a:solidFill>
                <a:schemeClr val="accent6">
                  <a:lumMod val="60000"/>
                </a:schemeClr>
              </a:solidFill>
              <a:ln>
                <a:noFill/>
              </a:ln>
              <a:effectLst>
                <a:softEdge rad="25400"/>
              </a:effectLst>
            </c:spPr>
            <c:extLst>
              <c:ext xmlns:c16="http://schemas.microsoft.com/office/drawing/2014/chart" uri="{C3380CC4-5D6E-409C-BE32-E72D297353CC}">
                <c16:uniqueId val="{00000017-467A-480E-B0E0-00357E4B61DB}"/>
              </c:ext>
            </c:extLst>
          </c:dPt>
          <c:dPt>
            <c:idx val="12"/>
            <c:invertIfNegative val="0"/>
            <c:bubble3D val="0"/>
            <c:spPr>
              <a:solidFill>
                <a:schemeClr val="accent1">
                  <a:lumMod val="80000"/>
                  <a:lumOff val="20000"/>
                </a:schemeClr>
              </a:solidFill>
              <a:ln>
                <a:noFill/>
              </a:ln>
              <a:effectLst>
                <a:softEdge rad="25400"/>
              </a:effectLst>
            </c:spPr>
            <c:extLst>
              <c:ext xmlns:c16="http://schemas.microsoft.com/office/drawing/2014/chart" uri="{C3380CC4-5D6E-409C-BE32-E72D297353CC}">
                <c16:uniqueId val="{00000019-467A-480E-B0E0-00357E4B61DB}"/>
              </c:ext>
            </c:extLst>
          </c:dPt>
          <c:dPt>
            <c:idx val="13"/>
            <c:invertIfNegative val="0"/>
            <c:bubble3D val="0"/>
            <c:spPr>
              <a:solidFill>
                <a:schemeClr val="accent2">
                  <a:lumMod val="80000"/>
                  <a:lumOff val="20000"/>
                </a:schemeClr>
              </a:solidFill>
              <a:ln>
                <a:noFill/>
              </a:ln>
              <a:effectLst>
                <a:softEdge rad="25400"/>
              </a:effectLst>
            </c:spPr>
            <c:extLst>
              <c:ext xmlns:c16="http://schemas.microsoft.com/office/drawing/2014/chart" uri="{C3380CC4-5D6E-409C-BE32-E72D297353CC}">
                <c16:uniqueId val="{0000001B-467A-480E-B0E0-00357E4B61DB}"/>
              </c:ext>
            </c:extLst>
          </c:dPt>
          <c:dPt>
            <c:idx val="14"/>
            <c:invertIfNegative val="0"/>
            <c:bubble3D val="0"/>
            <c:spPr>
              <a:solidFill>
                <a:schemeClr val="accent3">
                  <a:lumMod val="80000"/>
                  <a:lumOff val="20000"/>
                </a:schemeClr>
              </a:solidFill>
              <a:ln>
                <a:noFill/>
              </a:ln>
              <a:effectLst>
                <a:softEdge rad="25400"/>
              </a:effectLst>
            </c:spPr>
            <c:extLst>
              <c:ext xmlns:c16="http://schemas.microsoft.com/office/drawing/2014/chart" uri="{C3380CC4-5D6E-409C-BE32-E72D297353CC}">
                <c16:uniqueId val="{0000001D-A5D2-475F-BA1C-87AC7249150F}"/>
              </c:ext>
            </c:extLst>
          </c:dPt>
          <c:dPt>
            <c:idx val="15"/>
            <c:invertIfNegative val="0"/>
            <c:bubble3D val="0"/>
            <c:spPr>
              <a:solidFill>
                <a:schemeClr val="accent4">
                  <a:lumMod val="80000"/>
                  <a:lumOff val="20000"/>
                </a:schemeClr>
              </a:solidFill>
              <a:ln>
                <a:noFill/>
              </a:ln>
              <a:effectLst>
                <a:softEdge rad="25400"/>
              </a:effectLst>
            </c:spPr>
            <c:extLst>
              <c:ext xmlns:c16="http://schemas.microsoft.com/office/drawing/2014/chart" uri="{C3380CC4-5D6E-409C-BE32-E72D297353CC}">
                <c16:uniqueId val="{0000001F-B458-477F-A4C0-9AAC70259C7B}"/>
              </c:ext>
            </c:extLst>
          </c:dPt>
          <c:dPt>
            <c:idx val="16"/>
            <c:invertIfNegative val="0"/>
            <c:bubble3D val="0"/>
            <c:spPr>
              <a:solidFill>
                <a:schemeClr val="accent5">
                  <a:lumMod val="80000"/>
                  <a:lumOff val="20000"/>
                </a:schemeClr>
              </a:solidFill>
              <a:ln>
                <a:noFill/>
              </a:ln>
              <a:effectLst>
                <a:softEdge rad="25400"/>
              </a:effectLst>
            </c:spPr>
            <c:extLst>
              <c:ext xmlns:c16="http://schemas.microsoft.com/office/drawing/2014/chart" uri="{C3380CC4-5D6E-409C-BE32-E72D297353CC}">
                <c16:uniqueId val="{00000021-B458-477F-A4C0-9AAC70259C7B}"/>
              </c:ext>
            </c:extLst>
          </c:dPt>
          <c:dPt>
            <c:idx val="17"/>
            <c:invertIfNegative val="0"/>
            <c:bubble3D val="0"/>
            <c:spPr>
              <a:solidFill>
                <a:schemeClr val="accent6">
                  <a:lumMod val="80000"/>
                  <a:lumOff val="20000"/>
                </a:schemeClr>
              </a:solidFill>
              <a:ln>
                <a:noFill/>
              </a:ln>
              <a:effectLst>
                <a:softEdge rad="25400"/>
              </a:effectLst>
            </c:spPr>
            <c:extLst>
              <c:ext xmlns:c16="http://schemas.microsoft.com/office/drawing/2014/chart" uri="{C3380CC4-5D6E-409C-BE32-E72D297353CC}">
                <c16:uniqueId val="{00000023-B458-477F-A4C0-9AAC70259C7B}"/>
              </c:ext>
            </c:extLst>
          </c:dPt>
          <c:dPt>
            <c:idx val="18"/>
            <c:invertIfNegative val="0"/>
            <c:bubble3D val="0"/>
            <c:spPr>
              <a:solidFill>
                <a:schemeClr val="accent1">
                  <a:lumMod val="80000"/>
                </a:schemeClr>
              </a:solidFill>
              <a:ln>
                <a:noFill/>
              </a:ln>
              <a:effectLst>
                <a:softEdge rad="25400"/>
              </a:effectLst>
            </c:spPr>
            <c:extLst>
              <c:ext xmlns:c16="http://schemas.microsoft.com/office/drawing/2014/chart" uri="{C3380CC4-5D6E-409C-BE32-E72D297353CC}">
                <c16:uniqueId val="{00000025-9822-46F6-B5A7-8E9027E8B1BA}"/>
              </c:ext>
            </c:extLst>
          </c:dPt>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Categorías!$A$4</c:f>
              <c:strCache>
                <c:ptCount val="1"/>
                <c:pt idx="0">
                  <c:v>Total general</c:v>
                </c:pt>
              </c:strCache>
            </c:strRef>
          </c:cat>
          <c:val>
            <c:numRef>
              <c:f>Categorías!$B$4</c:f>
              <c:numCache>
                <c:formatCode>"R$"\ #,##0.00</c:formatCode>
                <c:ptCount val="1"/>
              </c:numCache>
            </c:numRef>
          </c:val>
          <c:extLst>
            <c:ext xmlns:c16="http://schemas.microsoft.com/office/drawing/2014/chart" uri="{C3380CC4-5D6E-409C-BE32-E72D297353CC}">
              <c16:uniqueId val="{00000010-7E6D-4394-855F-589371554123}"/>
            </c:ext>
          </c:extLst>
        </c:ser>
        <c:dLbls>
          <c:dLblPos val="outEnd"/>
          <c:showLegendKey val="0"/>
          <c:showVal val="1"/>
          <c:showCatName val="0"/>
          <c:showSerName val="0"/>
          <c:showPercent val="0"/>
          <c:showBubbleSize val="0"/>
        </c:dLbls>
        <c:gapWidth val="50"/>
        <c:axId val="802203248"/>
        <c:axId val="802208048"/>
      </c:barChart>
      <c:catAx>
        <c:axId val="802203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s-CO"/>
          </a:p>
        </c:txPr>
        <c:crossAx val="802208048"/>
        <c:crosses val="autoZero"/>
        <c:auto val="1"/>
        <c:lblAlgn val="ctr"/>
        <c:lblOffset val="100"/>
        <c:noMultiLvlLbl val="0"/>
      </c:catAx>
      <c:valAx>
        <c:axId val="802208048"/>
        <c:scaling>
          <c:orientation val="minMax"/>
        </c:scaling>
        <c:delete val="1"/>
        <c:axPos val="l"/>
        <c:numFmt formatCode="&quot;R$&quot;\ #,##0.00" sourceLinked="1"/>
        <c:majorTickMark val="none"/>
        <c:minorTickMark val="none"/>
        <c:tickLblPos val="nextTo"/>
        <c:crossAx val="802203248"/>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s-CO"/>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[Control de Finanzas (1).xlsm]Categorías!Tabela dinâmica1</c:name>
    <c:fmtId val="3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a:softEdge rad="2540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pivotFmt>
      <c:pivotFmt>
        <c:idx val="38"/>
        <c:spPr>
          <a:gradFill flip="none" rotWithShape="1">
            <a:gsLst>
              <a:gs pos="0">
                <a:srgbClr val="27A936"/>
              </a:gs>
              <a:gs pos="100000">
                <a:schemeClr val="accent3">
                  <a:lumMod val="50000"/>
                </a:schemeClr>
              </a:gs>
            </a:gsLst>
            <a:lin ang="5400000" scaled="0"/>
            <a:tileRect/>
          </a:gradFill>
          <a:ln>
            <a:noFill/>
          </a:ln>
          <a:effectLst>
            <a:softEdge rad="25400"/>
          </a:effectLst>
        </c:spPr>
      </c:pivotFmt>
      <c:pivotFmt>
        <c:idx val="39"/>
        <c:spPr>
          <a:gradFill>
            <a:gsLst>
              <a:gs pos="0">
                <a:srgbClr val="FF4343"/>
              </a:gs>
              <a:gs pos="100000">
                <a:srgbClr val="C00000"/>
              </a:gs>
            </a:gsLst>
            <a:lin ang="5400000" scaled="0"/>
          </a:gradFill>
          <a:ln>
            <a:noFill/>
          </a:ln>
          <a:effectLst>
            <a:softEdge rad="25400"/>
          </a:effectLst>
        </c:spPr>
      </c:pivotFmt>
      <c:pivotFmt>
        <c:idx val="40"/>
        <c:spPr>
          <a:gradFill>
            <a:gsLst>
              <a:gs pos="0">
                <a:srgbClr val="FFFF81"/>
              </a:gs>
              <a:gs pos="100000">
                <a:srgbClr val="C09200"/>
              </a:gs>
            </a:gsLst>
            <a:lin ang="5400000" scaled="0"/>
          </a:gradFill>
          <a:ln>
            <a:noFill/>
          </a:ln>
          <a:effectLst>
            <a:softEdge rad="25400"/>
          </a:effectLst>
        </c:spPr>
      </c:pivotFmt>
      <c:pivotFmt>
        <c:idx val="41"/>
        <c:spPr>
          <a:gradFill>
            <a:gsLst>
              <a:gs pos="0">
                <a:srgbClr val="00B0F0"/>
              </a:gs>
              <a:gs pos="100000">
                <a:srgbClr val="002060"/>
              </a:gs>
            </a:gsLst>
            <a:lin ang="5400000" scaled="0"/>
          </a:gradFill>
          <a:ln>
            <a:noFill/>
          </a:ln>
          <a:effectLst>
            <a:softEdge rad="25400"/>
          </a:effectLst>
        </c:spPr>
      </c:pivotFmt>
      <c:pivotFmt>
        <c:idx val="42"/>
        <c:spPr>
          <a:gradFill>
            <a:gsLst>
              <a:gs pos="0">
                <a:schemeClr val="accent5">
                  <a:lumMod val="60000"/>
                  <a:lumOff val="40000"/>
                </a:schemeClr>
              </a:gs>
              <a:gs pos="100000">
                <a:srgbClr val="7030A0"/>
              </a:gs>
            </a:gsLst>
            <a:lin ang="5400000" scaled="0"/>
          </a:gradFill>
          <a:ln>
            <a:noFill/>
          </a:ln>
          <a:effectLst>
            <a:softEdge rad="25400"/>
          </a:effectLst>
        </c:spPr>
      </c:pivotFmt>
      <c:pivotFmt>
        <c:idx val="43"/>
        <c:spPr>
          <a:gradFill>
            <a:gsLst>
              <a:gs pos="0">
                <a:schemeClr val="accent2">
                  <a:lumMod val="60000"/>
                  <a:lumOff val="40000"/>
                </a:schemeClr>
              </a:gs>
              <a:gs pos="100000">
                <a:schemeClr val="accent2">
                  <a:lumMod val="50000"/>
                </a:schemeClr>
              </a:gs>
            </a:gsLst>
            <a:lin ang="5400000" scaled="0"/>
          </a:gradFill>
          <a:ln>
            <a:noFill/>
          </a:ln>
          <a:effectLst>
            <a:softEdge rad="25400"/>
          </a:effectLst>
        </c:spPr>
      </c:pivotFmt>
      <c:pivotFmt>
        <c:idx val="44"/>
        <c:spPr>
          <a:solidFill>
            <a:schemeClr val="accent1"/>
          </a:solidFill>
          <a:ln>
            <a:noFill/>
          </a:ln>
          <a:effectLst>
            <a:softEdge rad="2540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gradFill flip="none" rotWithShape="1">
            <a:gsLst>
              <a:gs pos="0">
                <a:srgbClr val="27A936"/>
              </a:gs>
              <a:gs pos="100000">
                <a:schemeClr val="accent3">
                  <a:lumMod val="50000"/>
                </a:schemeClr>
              </a:gs>
            </a:gsLst>
            <a:lin ang="5400000" scaled="0"/>
            <a:tileRect/>
          </a:gradFill>
          <a:ln>
            <a:noFill/>
          </a:ln>
          <a:effectLst>
            <a:softEdge rad="25400"/>
          </a:effectLst>
        </c:spPr>
      </c:pivotFmt>
      <c:pivotFmt>
        <c:idx val="46"/>
        <c:spPr>
          <a:gradFill>
            <a:gsLst>
              <a:gs pos="0">
                <a:srgbClr val="FF4343"/>
              </a:gs>
              <a:gs pos="100000">
                <a:srgbClr val="C00000"/>
              </a:gs>
            </a:gsLst>
            <a:lin ang="5400000" scaled="0"/>
          </a:gradFill>
          <a:ln>
            <a:noFill/>
          </a:ln>
          <a:effectLst>
            <a:softEdge rad="25400"/>
          </a:effectLst>
        </c:spPr>
      </c:pivotFmt>
      <c:pivotFmt>
        <c:idx val="47"/>
        <c:spPr>
          <a:gradFill>
            <a:gsLst>
              <a:gs pos="0">
                <a:srgbClr val="FFFF81"/>
              </a:gs>
              <a:gs pos="100000">
                <a:srgbClr val="C09200"/>
              </a:gs>
            </a:gsLst>
            <a:lin ang="5400000" scaled="0"/>
          </a:gradFill>
          <a:ln>
            <a:noFill/>
          </a:ln>
          <a:effectLst>
            <a:softEdge rad="25400"/>
          </a:effectLst>
        </c:spPr>
      </c:pivotFmt>
      <c:pivotFmt>
        <c:idx val="48"/>
        <c:spPr>
          <a:gradFill>
            <a:gsLst>
              <a:gs pos="0">
                <a:srgbClr val="00B0F0"/>
              </a:gs>
              <a:gs pos="100000">
                <a:srgbClr val="002060"/>
              </a:gs>
            </a:gsLst>
            <a:lin ang="5400000" scaled="0"/>
          </a:gradFill>
          <a:ln>
            <a:noFill/>
          </a:ln>
          <a:effectLst>
            <a:softEdge rad="25400"/>
          </a:effectLst>
        </c:spPr>
      </c:pivotFmt>
      <c:pivotFmt>
        <c:idx val="49"/>
        <c:spPr>
          <a:gradFill>
            <a:gsLst>
              <a:gs pos="0">
                <a:schemeClr val="accent5">
                  <a:lumMod val="60000"/>
                  <a:lumOff val="40000"/>
                </a:schemeClr>
              </a:gs>
              <a:gs pos="100000">
                <a:srgbClr val="7030A0"/>
              </a:gs>
            </a:gsLst>
            <a:lin ang="5400000" scaled="0"/>
          </a:gradFill>
          <a:ln>
            <a:noFill/>
          </a:ln>
          <a:effectLst>
            <a:softEdge rad="25400"/>
          </a:effectLst>
        </c:spPr>
      </c:pivotFmt>
      <c:pivotFmt>
        <c:idx val="50"/>
        <c:spPr>
          <a:gradFill>
            <a:gsLst>
              <a:gs pos="0">
                <a:schemeClr val="accent2">
                  <a:lumMod val="60000"/>
                  <a:lumOff val="40000"/>
                </a:schemeClr>
              </a:gs>
              <a:gs pos="100000">
                <a:schemeClr val="accent2">
                  <a:lumMod val="50000"/>
                </a:schemeClr>
              </a:gs>
            </a:gsLst>
            <a:lin ang="5400000" scaled="0"/>
          </a:gradFill>
          <a:ln>
            <a:noFill/>
          </a:ln>
          <a:effectLst>
            <a:softEdge rad="25400"/>
          </a:effectLst>
        </c:spPr>
      </c:pivotFmt>
      <c:pivotFmt>
        <c:idx val="51"/>
        <c:spPr>
          <a:solidFill>
            <a:schemeClr val="accent1"/>
          </a:solidFill>
          <a:ln>
            <a:noFill/>
          </a:ln>
          <a:effectLst>
            <a:softEdge rad="2540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gradFill flip="none" rotWithShape="1">
            <a:gsLst>
              <a:gs pos="0">
                <a:srgbClr val="27A936"/>
              </a:gs>
              <a:gs pos="100000">
                <a:schemeClr val="accent3">
                  <a:lumMod val="50000"/>
                </a:schemeClr>
              </a:gs>
            </a:gsLst>
            <a:lin ang="5400000" scaled="0"/>
            <a:tileRect/>
          </a:gradFill>
          <a:ln>
            <a:noFill/>
          </a:ln>
          <a:effectLst>
            <a:softEdge rad="25400"/>
          </a:effectLst>
        </c:spPr>
      </c:pivotFmt>
      <c:pivotFmt>
        <c:idx val="53"/>
        <c:spPr>
          <a:gradFill>
            <a:gsLst>
              <a:gs pos="0">
                <a:srgbClr val="FF4343"/>
              </a:gs>
              <a:gs pos="100000">
                <a:srgbClr val="C00000"/>
              </a:gs>
            </a:gsLst>
            <a:lin ang="5400000" scaled="0"/>
          </a:gradFill>
          <a:ln>
            <a:noFill/>
          </a:ln>
          <a:effectLst>
            <a:softEdge rad="25400"/>
          </a:effectLst>
        </c:spPr>
      </c:pivotFmt>
      <c:pivotFmt>
        <c:idx val="54"/>
        <c:spPr>
          <a:gradFill>
            <a:gsLst>
              <a:gs pos="0">
                <a:srgbClr val="FFFF81"/>
              </a:gs>
              <a:gs pos="100000">
                <a:srgbClr val="C09200"/>
              </a:gs>
            </a:gsLst>
            <a:lin ang="5400000" scaled="0"/>
          </a:gradFill>
          <a:ln>
            <a:noFill/>
          </a:ln>
          <a:effectLst>
            <a:softEdge rad="25400"/>
          </a:effectLst>
        </c:spPr>
      </c:pivotFmt>
      <c:pivotFmt>
        <c:idx val="55"/>
        <c:spPr>
          <a:gradFill>
            <a:gsLst>
              <a:gs pos="0">
                <a:srgbClr val="00B0F0"/>
              </a:gs>
              <a:gs pos="100000">
                <a:srgbClr val="002060"/>
              </a:gs>
            </a:gsLst>
            <a:lin ang="5400000" scaled="0"/>
          </a:gradFill>
          <a:ln>
            <a:noFill/>
          </a:ln>
          <a:effectLst>
            <a:softEdge rad="25400"/>
          </a:effectLst>
        </c:spPr>
      </c:pivotFmt>
      <c:pivotFmt>
        <c:idx val="56"/>
        <c:spPr>
          <a:gradFill>
            <a:gsLst>
              <a:gs pos="0">
                <a:schemeClr val="accent5">
                  <a:lumMod val="60000"/>
                  <a:lumOff val="40000"/>
                </a:schemeClr>
              </a:gs>
              <a:gs pos="100000">
                <a:srgbClr val="7030A0"/>
              </a:gs>
            </a:gsLst>
            <a:lin ang="5400000" scaled="0"/>
          </a:gradFill>
          <a:ln>
            <a:noFill/>
          </a:ln>
          <a:effectLst>
            <a:softEdge rad="25400"/>
          </a:effectLst>
        </c:spPr>
      </c:pivotFmt>
      <c:pivotFmt>
        <c:idx val="57"/>
        <c:spPr>
          <a:gradFill>
            <a:gsLst>
              <a:gs pos="0">
                <a:schemeClr val="accent2">
                  <a:lumMod val="60000"/>
                  <a:lumOff val="40000"/>
                </a:schemeClr>
              </a:gs>
              <a:gs pos="100000">
                <a:schemeClr val="accent2">
                  <a:lumMod val="50000"/>
                </a:schemeClr>
              </a:gs>
            </a:gsLst>
            <a:lin ang="5400000" scaled="0"/>
          </a:gradFill>
          <a:ln>
            <a:noFill/>
          </a:ln>
          <a:effectLst>
            <a:softEdge rad="25400"/>
          </a:effectLst>
        </c:spPr>
      </c:pivotFmt>
      <c:pivotFmt>
        <c:idx val="58"/>
        <c:spPr>
          <a:solidFill>
            <a:schemeClr val="accent1"/>
          </a:solidFill>
          <a:ln>
            <a:noFill/>
          </a:ln>
          <a:effectLst>
            <a:softEdge rad="25400"/>
          </a:effectLst>
        </c:spPr>
      </c:pivotFmt>
      <c:pivotFmt>
        <c:idx val="59"/>
        <c:spPr>
          <a:solidFill>
            <a:schemeClr val="accent1"/>
          </a:solidFill>
          <a:ln>
            <a:noFill/>
          </a:ln>
          <a:effectLst>
            <a:softEdge rad="25400"/>
          </a:effectLst>
        </c:spPr>
      </c:pivotFmt>
      <c:pivotFmt>
        <c:idx val="60"/>
        <c:spPr>
          <a:solidFill>
            <a:schemeClr val="accent1"/>
          </a:solidFill>
          <a:ln>
            <a:noFill/>
          </a:ln>
          <a:effectLst>
            <a:softEdge rad="25400"/>
          </a:effectLst>
        </c:spPr>
        <c:marker>
          <c:symbol val="none"/>
        </c:marker>
        <c:dLbl>
          <c:idx val="0"/>
          <c:numFmt formatCode="&quot;R$&quot;\ #,##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gradFill flip="none" rotWithShape="1">
            <a:gsLst>
              <a:gs pos="0">
                <a:srgbClr val="27A936"/>
              </a:gs>
              <a:gs pos="100000">
                <a:schemeClr val="accent3">
                  <a:lumMod val="50000"/>
                </a:schemeClr>
              </a:gs>
            </a:gsLst>
            <a:lin ang="5400000" scaled="0"/>
            <a:tileRect/>
          </a:gradFill>
          <a:ln>
            <a:noFill/>
          </a:ln>
          <a:effectLst>
            <a:softEdge rad="25400"/>
          </a:effectLst>
        </c:spPr>
      </c:pivotFmt>
      <c:pivotFmt>
        <c:idx val="62"/>
        <c:spPr>
          <a:gradFill>
            <a:gsLst>
              <a:gs pos="0">
                <a:srgbClr val="FF4343"/>
              </a:gs>
              <a:gs pos="100000">
                <a:srgbClr val="C00000"/>
              </a:gs>
            </a:gsLst>
            <a:lin ang="5400000" scaled="0"/>
          </a:gradFill>
          <a:ln>
            <a:noFill/>
          </a:ln>
          <a:effectLst>
            <a:softEdge rad="25400"/>
          </a:effectLst>
        </c:spPr>
      </c:pivotFmt>
      <c:pivotFmt>
        <c:idx val="63"/>
        <c:spPr>
          <a:gradFill>
            <a:gsLst>
              <a:gs pos="0">
                <a:srgbClr val="FFFF81"/>
              </a:gs>
              <a:gs pos="100000">
                <a:srgbClr val="C09200"/>
              </a:gs>
            </a:gsLst>
            <a:lin ang="5400000" scaled="0"/>
          </a:gradFill>
          <a:ln>
            <a:noFill/>
          </a:ln>
          <a:effectLst>
            <a:softEdge rad="25400"/>
          </a:effectLst>
        </c:spPr>
      </c:pivotFmt>
      <c:pivotFmt>
        <c:idx val="64"/>
        <c:spPr>
          <a:gradFill>
            <a:gsLst>
              <a:gs pos="0">
                <a:srgbClr val="00B0F0"/>
              </a:gs>
              <a:gs pos="100000">
                <a:srgbClr val="002060"/>
              </a:gs>
            </a:gsLst>
            <a:lin ang="5400000" scaled="0"/>
          </a:gradFill>
          <a:ln>
            <a:noFill/>
          </a:ln>
          <a:effectLst>
            <a:softEdge rad="25400"/>
          </a:effectLst>
        </c:spPr>
      </c:pivotFmt>
      <c:pivotFmt>
        <c:idx val="65"/>
        <c:spPr>
          <a:gradFill>
            <a:gsLst>
              <a:gs pos="0">
                <a:schemeClr val="accent5">
                  <a:lumMod val="60000"/>
                  <a:lumOff val="40000"/>
                </a:schemeClr>
              </a:gs>
              <a:gs pos="100000">
                <a:srgbClr val="7030A0"/>
              </a:gs>
            </a:gsLst>
            <a:lin ang="5400000" scaled="0"/>
          </a:gradFill>
          <a:ln>
            <a:noFill/>
          </a:ln>
          <a:effectLst>
            <a:softEdge rad="25400"/>
          </a:effectLst>
        </c:spPr>
      </c:pivotFmt>
      <c:pivotFmt>
        <c:idx val="66"/>
        <c:spPr>
          <a:gradFill>
            <a:gsLst>
              <a:gs pos="0">
                <a:schemeClr val="accent2">
                  <a:lumMod val="60000"/>
                  <a:lumOff val="40000"/>
                </a:schemeClr>
              </a:gs>
              <a:gs pos="100000">
                <a:schemeClr val="accent2">
                  <a:lumMod val="50000"/>
                </a:schemeClr>
              </a:gs>
            </a:gsLst>
            <a:lin ang="5400000" scaled="0"/>
          </a:gradFill>
          <a:ln>
            <a:noFill/>
          </a:ln>
          <a:effectLst>
            <a:softEdge rad="25400"/>
          </a:effectLst>
        </c:spPr>
      </c:pivotFmt>
      <c:pivotFmt>
        <c:idx val="67"/>
        <c:spPr>
          <a:gradFill>
            <a:gsLst>
              <a:gs pos="3000">
                <a:srgbClr val="FF4343"/>
              </a:gs>
              <a:gs pos="100000">
                <a:srgbClr val="C00000"/>
              </a:gs>
            </a:gsLst>
            <a:lin ang="5400000" scaled="1"/>
          </a:gradFill>
          <a:ln>
            <a:noFill/>
          </a:ln>
          <a:effectLst>
            <a:softEdge rad="25400"/>
          </a:effectLst>
        </c:spPr>
      </c:pivotFmt>
      <c:pivotFmt>
        <c:idx val="68"/>
        <c:spPr>
          <a:gradFill>
            <a:gsLst>
              <a:gs pos="3000">
                <a:srgbClr val="E97132">
                  <a:lumMod val="60000"/>
                  <a:lumOff val="40000"/>
                </a:srgbClr>
              </a:gs>
              <a:gs pos="100000">
                <a:srgbClr val="E97132">
                  <a:lumMod val="50000"/>
                </a:srgbClr>
              </a:gs>
            </a:gsLst>
            <a:lin ang="5400000" scaled="1"/>
          </a:gradFill>
          <a:ln>
            <a:noFill/>
          </a:ln>
          <a:effectLst>
            <a:softEdge rad="25400"/>
          </a:effectLst>
        </c:spPr>
      </c:pivotFmt>
      <c:pivotFmt>
        <c:idx val="69"/>
        <c:spPr>
          <a:solidFill>
            <a:schemeClr val="accent1"/>
          </a:solidFill>
          <a:ln>
            <a:noFill/>
          </a:ln>
          <a:effectLst>
            <a:softEdge rad="25400"/>
          </a:effectLst>
        </c:spPr>
      </c:pivotFmt>
      <c:pivotFmt>
        <c:idx val="70"/>
        <c:spPr>
          <a:solidFill>
            <a:schemeClr val="accent1"/>
          </a:solidFill>
          <a:ln>
            <a:noFill/>
          </a:ln>
          <a:effectLst>
            <a:softEdge rad="25400"/>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gradFill flip="none" rotWithShape="1">
            <a:gsLst>
              <a:gs pos="0">
                <a:srgbClr val="27A936"/>
              </a:gs>
              <a:gs pos="100000">
                <a:schemeClr val="accent3">
                  <a:lumMod val="50000"/>
                </a:schemeClr>
              </a:gs>
            </a:gsLst>
            <a:lin ang="5400000" scaled="0"/>
            <a:tileRect/>
          </a:gradFill>
          <a:ln>
            <a:noFill/>
          </a:ln>
          <a:effectLst>
            <a:softEdge rad="25400"/>
          </a:effectLst>
        </c:spPr>
      </c:pivotFmt>
      <c:pivotFmt>
        <c:idx val="72"/>
        <c:spPr>
          <a:gradFill>
            <a:gsLst>
              <a:gs pos="0">
                <a:srgbClr val="FFFF81"/>
              </a:gs>
              <a:gs pos="100000">
                <a:srgbClr val="C09200"/>
              </a:gs>
            </a:gsLst>
            <a:lin ang="5400000" scaled="0"/>
          </a:gradFill>
          <a:ln>
            <a:noFill/>
          </a:ln>
          <a:effectLst>
            <a:softEdge rad="25400"/>
          </a:effectLst>
        </c:spPr>
      </c:pivotFmt>
      <c:pivotFmt>
        <c:idx val="73"/>
        <c:spPr>
          <a:solidFill>
            <a:schemeClr val="accent1"/>
          </a:solidFill>
          <a:ln>
            <a:noFill/>
          </a:ln>
          <a:effectLst>
            <a:softEdge rad="25400"/>
          </a:effectLst>
        </c:spPr>
      </c:pivotFmt>
      <c:pivotFmt>
        <c:idx val="74"/>
        <c:spPr>
          <a:solidFill>
            <a:schemeClr val="accent1"/>
          </a:solidFill>
          <a:ln>
            <a:noFill/>
          </a:ln>
          <a:effectLst>
            <a:softEdge rad="25400"/>
          </a:effectLst>
        </c:spPr>
      </c:pivotFmt>
      <c:pivotFmt>
        <c:idx val="75"/>
        <c:spPr>
          <a:solidFill>
            <a:schemeClr val="accent1"/>
          </a:solidFill>
          <a:ln>
            <a:noFill/>
          </a:ln>
          <a:effectLst>
            <a:softEdge rad="25400"/>
          </a:effectLst>
        </c:spPr>
      </c:pivotFmt>
      <c:pivotFmt>
        <c:idx val="76"/>
        <c:spPr>
          <a:solidFill>
            <a:schemeClr val="accent1"/>
          </a:solidFill>
          <a:ln>
            <a:noFill/>
          </a:ln>
          <a:effectLst>
            <a:softEdge rad="25400"/>
          </a:effectLst>
        </c:spPr>
      </c:pivotFmt>
      <c:pivotFmt>
        <c:idx val="77"/>
        <c:spPr>
          <a:solidFill>
            <a:schemeClr val="accent1"/>
          </a:solidFill>
          <a:ln>
            <a:noFill/>
          </a:ln>
          <a:effectLst>
            <a:softEdge rad="25400"/>
          </a:effectLst>
        </c:spPr>
      </c:pivotFmt>
      <c:pivotFmt>
        <c:idx val="78"/>
        <c:spPr>
          <a:solidFill>
            <a:schemeClr val="accent1"/>
          </a:solidFill>
          <a:ln>
            <a:noFill/>
          </a:ln>
          <a:effectLst>
            <a:softEdge rad="25400"/>
          </a:effectLst>
        </c:spPr>
      </c:pivotFmt>
      <c:pivotFmt>
        <c:idx val="79"/>
        <c:spPr>
          <a:solidFill>
            <a:schemeClr val="accent1"/>
          </a:solidFill>
          <a:ln>
            <a:noFill/>
          </a:ln>
          <a:effectLst>
            <a:softEdge rad="25400"/>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0"/>
        <c:spPr>
          <a:gradFill>
            <a:gsLst>
              <a:gs pos="0">
                <a:srgbClr val="FFFF81"/>
              </a:gs>
              <a:gs pos="100000">
                <a:srgbClr val="C09200"/>
              </a:gs>
            </a:gsLst>
            <a:lin ang="5400000" scaled="0"/>
          </a:gradFill>
          <a:ln>
            <a:noFill/>
          </a:ln>
          <a:effectLst>
            <a:softEdge rad="25400"/>
          </a:effectLst>
        </c:spPr>
      </c:pivotFmt>
      <c:pivotFmt>
        <c:idx val="81"/>
        <c:spPr>
          <a:gradFill>
            <a:gsLst>
              <a:gs pos="0">
                <a:srgbClr val="F7B553"/>
              </a:gs>
              <a:gs pos="100000">
                <a:srgbClr val="FA5F00"/>
              </a:gs>
            </a:gsLst>
            <a:lin ang="5400000" scaled="0"/>
          </a:gradFill>
          <a:ln>
            <a:noFill/>
          </a:ln>
          <a:effectLst>
            <a:softEdge rad="25400"/>
          </a:effectLst>
        </c:spPr>
      </c:pivotFmt>
      <c:pivotFmt>
        <c:idx val="82"/>
        <c:spPr>
          <a:gradFill>
            <a:gsLst>
              <a:gs pos="0">
                <a:srgbClr val="31CF44"/>
              </a:gs>
              <a:gs pos="100000">
                <a:srgbClr val="1B7325"/>
              </a:gs>
            </a:gsLst>
            <a:lin ang="5400000" scaled="0"/>
          </a:gradFill>
          <a:ln>
            <a:noFill/>
          </a:ln>
          <a:effectLst>
            <a:softEdge rad="25400"/>
          </a:effectLst>
        </c:spPr>
      </c:pivotFmt>
      <c:pivotFmt>
        <c:idx val="83"/>
        <c:spPr>
          <a:gradFill>
            <a:gsLst>
              <a:gs pos="0">
                <a:srgbClr val="2DA5DB"/>
              </a:gs>
              <a:gs pos="100000">
                <a:srgbClr val="156082">
                  <a:lumMod val="50000"/>
                </a:srgbClr>
              </a:gs>
            </a:gsLst>
            <a:lin ang="5400000" scaled="0"/>
          </a:gradFill>
          <a:ln>
            <a:noFill/>
          </a:ln>
          <a:effectLst>
            <a:softEdge rad="25400"/>
          </a:effectLst>
        </c:spPr>
      </c:pivotFmt>
      <c:pivotFmt>
        <c:idx val="84"/>
        <c:spPr>
          <a:gradFill>
            <a:gsLst>
              <a:gs pos="0">
                <a:srgbClr val="B432A8"/>
              </a:gs>
              <a:gs pos="100000">
                <a:srgbClr val="A02B93">
                  <a:lumMod val="50000"/>
                </a:srgbClr>
              </a:gs>
            </a:gsLst>
            <a:lin ang="5400000" scaled="0"/>
          </a:gradFill>
          <a:ln>
            <a:noFill/>
          </a:ln>
          <a:effectLst>
            <a:softEdge rad="25400"/>
          </a:effectLst>
        </c:spPr>
      </c:pivotFmt>
      <c:pivotFmt>
        <c:idx val="85"/>
        <c:spPr>
          <a:gradFill>
            <a:gsLst>
              <a:gs pos="0">
                <a:srgbClr val="238D30"/>
              </a:gs>
              <a:gs pos="100000">
                <a:srgbClr val="196B24">
                  <a:lumMod val="50000"/>
                </a:srgbClr>
              </a:gs>
            </a:gsLst>
            <a:lin ang="5400000" scaled="0"/>
          </a:gradFill>
          <a:ln>
            <a:noFill/>
          </a:ln>
          <a:effectLst>
            <a:softEdge rad="25400"/>
          </a:effectLst>
        </c:spPr>
      </c:pivotFmt>
      <c:pivotFmt>
        <c:idx val="86"/>
        <c:spPr>
          <a:gradFill>
            <a:gsLst>
              <a:gs pos="0">
                <a:srgbClr val="FF4747"/>
              </a:gs>
              <a:gs pos="100000">
                <a:srgbClr val="C00000"/>
              </a:gs>
            </a:gsLst>
            <a:lin ang="5400000" scaled="0"/>
          </a:gradFill>
          <a:ln>
            <a:noFill/>
          </a:ln>
          <a:effectLst>
            <a:softEdge rad="25400"/>
          </a:effectLst>
        </c:spPr>
      </c:pivotFmt>
      <c:pivotFmt>
        <c:idx val="87"/>
        <c:spPr>
          <a:gradFill>
            <a:gsLst>
              <a:gs pos="0">
                <a:srgbClr val="099B9F"/>
              </a:gs>
              <a:gs pos="100000">
                <a:srgbClr val="055557"/>
              </a:gs>
            </a:gsLst>
            <a:lin ang="5400000" scaled="0"/>
          </a:gradFill>
          <a:ln>
            <a:noFill/>
          </a:ln>
          <a:effectLst>
            <a:softEdge rad="25400"/>
          </a:effectLst>
        </c:spPr>
      </c:pivotFmt>
      <c:pivotFmt>
        <c:idx val="88"/>
        <c:spPr>
          <a:gradFill>
            <a:gsLst>
              <a:gs pos="0">
                <a:srgbClr val="CF5417"/>
              </a:gs>
              <a:gs pos="100000">
                <a:srgbClr val="E97132">
                  <a:lumMod val="50000"/>
                </a:srgbClr>
              </a:gs>
            </a:gsLst>
            <a:lin ang="5400000" scaled="0"/>
          </a:gradFill>
          <a:ln>
            <a:noFill/>
          </a:ln>
          <a:effectLst>
            <a:softEdge rad="25400"/>
          </a:effectLst>
        </c:spPr>
      </c:pivotFmt>
      <c:pivotFmt>
        <c:idx val="89"/>
        <c:spPr>
          <a:gradFill>
            <a:gsLst>
              <a:gs pos="0">
                <a:srgbClr val="A67A88"/>
              </a:gs>
              <a:gs pos="100000">
                <a:srgbClr val="5A3C45"/>
              </a:gs>
            </a:gsLst>
            <a:lin ang="5400000" scaled="0"/>
          </a:gradFill>
          <a:ln>
            <a:noFill/>
          </a:ln>
          <a:effectLst>
            <a:softEdge rad="25400"/>
          </a:effectLst>
        </c:spPr>
      </c:pivotFmt>
      <c:pivotFmt>
        <c:idx val="90"/>
        <c:spPr>
          <a:solidFill>
            <a:schemeClr val="accent1"/>
          </a:solidFill>
          <a:ln>
            <a:noFill/>
          </a:ln>
          <a:effectLst>
            <a:softEdge rad="25400"/>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1"/>
        <c:spPr>
          <a:gradFill>
            <a:gsLst>
              <a:gs pos="0">
                <a:srgbClr val="FFFF81"/>
              </a:gs>
              <a:gs pos="100000">
                <a:srgbClr val="C09200"/>
              </a:gs>
            </a:gsLst>
            <a:lin ang="5400000" scaled="0"/>
          </a:gradFill>
          <a:ln>
            <a:noFill/>
          </a:ln>
          <a:effectLst>
            <a:softEdge rad="25400"/>
          </a:effectLst>
        </c:spPr>
      </c:pivotFmt>
      <c:pivotFmt>
        <c:idx val="92"/>
        <c:spPr>
          <a:gradFill>
            <a:gsLst>
              <a:gs pos="0">
                <a:srgbClr val="F7B553"/>
              </a:gs>
              <a:gs pos="100000">
                <a:srgbClr val="FA5F00"/>
              </a:gs>
            </a:gsLst>
            <a:lin ang="5400000" scaled="0"/>
          </a:gradFill>
          <a:ln>
            <a:noFill/>
          </a:ln>
          <a:effectLst>
            <a:softEdge rad="25400"/>
          </a:effectLst>
        </c:spPr>
      </c:pivotFmt>
      <c:pivotFmt>
        <c:idx val="93"/>
        <c:spPr>
          <a:gradFill>
            <a:gsLst>
              <a:gs pos="0">
                <a:srgbClr val="31CF44"/>
              </a:gs>
              <a:gs pos="100000">
                <a:srgbClr val="1B7325"/>
              </a:gs>
            </a:gsLst>
            <a:lin ang="5400000" scaled="0"/>
          </a:gradFill>
          <a:ln>
            <a:noFill/>
          </a:ln>
          <a:effectLst>
            <a:softEdge rad="25400"/>
          </a:effectLst>
        </c:spPr>
      </c:pivotFmt>
      <c:pivotFmt>
        <c:idx val="94"/>
        <c:spPr>
          <a:gradFill>
            <a:gsLst>
              <a:gs pos="0">
                <a:srgbClr val="2DA5DB"/>
              </a:gs>
              <a:gs pos="100000">
                <a:srgbClr val="156082">
                  <a:lumMod val="50000"/>
                </a:srgbClr>
              </a:gs>
            </a:gsLst>
            <a:lin ang="5400000" scaled="0"/>
          </a:gradFill>
          <a:ln>
            <a:noFill/>
          </a:ln>
          <a:effectLst>
            <a:softEdge rad="25400"/>
          </a:effectLst>
        </c:spPr>
      </c:pivotFmt>
      <c:pivotFmt>
        <c:idx val="95"/>
        <c:spPr>
          <a:gradFill>
            <a:gsLst>
              <a:gs pos="0">
                <a:srgbClr val="B432A8"/>
              </a:gs>
              <a:gs pos="100000">
                <a:srgbClr val="A02B93">
                  <a:lumMod val="50000"/>
                </a:srgbClr>
              </a:gs>
            </a:gsLst>
            <a:lin ang="5400000" scaled="0"/>
          </a:gradFill>
          <a:ln>
            <a:noFill/>
          </a:ln>
          <a:effectLst>
            <a:softEdge rad="25400"/>
          </a:effectLst>
        </c:spPr>
      </c:pivotFmt>
      <c:pivotFmt>
        <c:idx val="96"/>
        <c:spPr>
          <a:gradFill>
            <a:gsLst>
              <a:gs pos="0">
                <a:srgbClr val="238D30"/>
              </a:gs>
              <a:gs pos="100000">
                <a:srgbClr val="196B24">
                  <a:lumMod val="50000"/>
                </a:srgbClr>
              </a:gs>
            </a:gsLst>
            <a:lin ang="5400000" scaled="0"/>
          </a:gradFill>
          <a:ln>
            <a:noFill/>
          </a:ln>
          <a:effectLst>
            <a:softEdge rad="25400"/>
          </a:effectLst>
        </c:spPr>
      </c:pivotFmt>
      <c:pivotFmt>
        <c:idx val="97"/>
        <c:spPr>
          <a:gradFill>
            <a:gsLst>
              <a:gs pos="0">
                <a:srgbClr val="099B9F"/>
              </a:gs>
              <a:gs pos="100000">
                <a:srgbClr val="055557"/>
              </a:gs>
            </a:gsLst>
            <a:lin ang="5400000" scaled="0"/>
          </a:gradFill>
          <a:ln>
            <a:noFill/>
          </a:ln>
          <a:effectLst>
            <a:softEdge rad="25400"/>
          </a:effectLst>
        </c:spPr>
      </c:pivotFmt>
      <c:pivotFmt>
        <c:idx val="98"/>
        <c:spPr>
          <a:gradFill>
            <a:gsLst>
              <a:gs pos="0">
                <a:srgbClr val="CF5417"/>
              </a:gs>
              <a:gs pos="100000">
                <a:srgbClr val="E97132">
                  <a:lumMod val="50000"/>
                </a:srgbClr>
              </a:gs>
            </a:gsLst>
            <a:lin ang="5400000" scaled="0"/>
          </a:gradFill>
          <a:ln>
            <a:noFill/>
          </a:ln>
          <a:effectLst>
            <a:softEdge rad="25400"/>
          </a:effectLst>
        </c:spPr>
      </c:pivotFmt>
      <c:pivotFmt>
        <c:idx val="99"/>
        <c:spPr>
          <a:gradFill>
            <a:gsLst>
              <a:gs pos="0">
                <a:srgbClr val="A67A88"/>
              </a:gs>
              <a:gs pos="100000">
                <a:srgbClr val="5A3C45"/>
              </a:gs>
            </a:gsLst>
            <a:lin ang="5400000" scaled="0"/>
          </a:gradFill>
          <a:ln>
            <a:noFill/>
          </a:ln>
          <a:effectLst>
            <a:softEdge rad="25400"/>
          </a:effectLst>
        </c:spPr>
      </c:pivotFmt>
      <c:pivotFmt>
        <c:idx val="100"/>
        <c:spPr>
          <a:gradFill>
            <a:gsLst>
              <a:gs pos="0">
                <a:srgbClr val="FF4747"/>
              </a:gs>
              <a:gs pos="100000">
                <a:srgbClr val="C00000"/>
              </a:gs>
            </a:gsLst>
            <a:lin ang="5400000" scaled="0"/>
          </a:gradFill>
          <a:ln>
            <a:noFill/>
          </a:ln>
          <a:effectLst>
            <a:softEdge rad="25400"/>
          </a:effectLst>
        </c:spPr>
      </c:pivotFmt>
      <c:pivotFmt>
        <c:idx val="101"/>
        <c:spPr>
          <a:solidFill>
            <a:schemeClr val="accent1"/>
          </a:solidFill>
          <a:ln>
            <a:noFill/>
          </a:ln>
          <a:effectLst>
            <a:softEdge rad="0"/>
          </a:effectLst>
          <a:scene3d>
            <a:camera prst="orthographicFront"/>
            <a:lightRig rig="threePt" dir="t"/>
          </a:scene3d>
          <a:sp3d>
            <a:bevelT/>
            <a:bevelB/>
          </a:sp3d>
        </c:spPr>
        <c:marker>
          <c:symbol val="none"/>
        </c:marker>
        <c:dLbl>
          <c:idx val="0"/>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0"/>
          <c:showVal val="0"/>
          <c:showCatName val="0"/>
          <c:showSerName val="0"/>
          <c:showPercent val="1"/>
          <c:showBubbleSize val="0"/>
          <c:extLst>
            <c:ext xmlns:c15="http://schemas.microsoft.com/office/drawing/2012/chart" uri="{CE6537A1-D6FC-4f65-9D91-7224C49458BB}">
              <c15:layout/>
            </c:ext>
          </c:extLst>
        </c:dLbl>
      </c:pivotFmt>
      <c:pivotFmt>
        <c:idx val="102"/>
        <c:spPr>
          <a:gradFill>
            <a:gsLst>
              <a:gs pos="0">
                <a:srgbClr val="238D30"/>
              </a:gs>
              <a:gs pos="100000">
                <a:srgbClr val="196B24">
                  <a:lumMod val="50000"/>
                </a:srgbClr>
              </a:gs>
            </a:gsLst>
            <a:lin ang="5400000" scaled="0"/>
          </a:gradFill>
          <a:ln>
            <a:noFill/>
          </a:ln>
          <a:effectLst>
            <a:softEdge rad="0"/>
          </a:effectLst>
          <a:scene3d>
            <a:camera prst="orthographicFront"/>
            <a:lightRig rig="threePt" dir="t"/>
          </a:scene3d>
          <a:sp3d>
            <a:bevelT/>
            <a:bevelB/>
          </a:sp3d>
        </c:spPr>
      </c:pivotFmt>
      <c:pivotFmt>
        <c:idx val="103"/>
        <c:spPr>
          <a:gradFill>
            <a:gsLst>
              <a:gs pos="0">
                <a:srgbClr val="F7B553"/>
              </a:gs>
              <a:gs pos="100000">
                <a:srgbClr val="FA5F00"/>
              </a:gs>
            </a:gsLst>
            <a:lin ang="5400000" scaled="0"/>
          </a:gradFill>
          <a:ln>
            <a:noFill/>
          </a:ln>
          <a:effectLst>
            <a:softEdge rad="0"/>
          </a:effectLst>
          <a:scene3d>
            <a:camera prst="orthographicFront"/>
            <a:lightRig rig="threePt" dir="t"/>
          </a:scene3d>
          <a:sp3d>
            <a:bevelT/>
            <a:bevelB/>
          </a:sp3d>
        </c:spPr>
      </c:pivotFmt>
      <c:pivotFmt>
        <c:idx val="104"/>
        <c:spPr>
          <a:gradFill>
            <a:gsLst>
              <a:gs pos="0">
                <a:srgbClr val="31CF44"/>
              </a:gs>
              <a:gs pos="100000">
                <a:srgbClr val="1B7325"/>
              </a:gs>
            </a:gsLst>
            <a:lin ang="5400000" scaled="0"/>
          </a:gradFill>
          <a:ln>
            <a:noFill/>
          </a:ln>
          <a:effectLst>
            <a:softEdge rad="0"/>
          </a:effectLst>
          <a:scene3d>
            <a:camera prst="orthographicFront"/>
            <a:lightRig rig="threePt" dir="t"/>
          </a:scene3d>
          <a:sp3d>
            <a:bevelT/>
            <a:bevelB/>
          </a:sp3d>
        </c:spPr>
      </c:pivotFmt>
      <c:pivotFmt>
        <c:idx val="105"/>
        <c:spPr>
          <a:gradFill>
            <a:gsLst>
              <a:gs pos="0">
                <a:srgbClr val="2DA5DB"/>
              </a:gs>
              <a:gs pos="100000">
                <a:srgbClr val="156082">
                  <a:lumMod val="50000"/>
                </a:srgbClr>
              </a:gs>
            </a:gsLst>
            <a:lin ang="5400000" scaled="0"/>
          </a:gradFill>
          <a:ln>
            <a:noFill/>
          </a:ln>
          <a:effectLst>
            <a:softEdge rad="0"/>
          </a:effectLst>
          <a:scene3d>
            <a:camera prst="orthographicFront"/>
            <a:lightRig rig="threePt" dir="t"/>
          </a:scene3d>
          <a:sp3d>
            <a:bevelT/>
            <a:bevelB/>
          </a:sp3d>
        </c:spPr>
      </c:pivotFmt>
      <c:pivotFmt>
        <c:idx val="106"/>
        <c:spPr>
          <a:gradFill>
            <a:gsLst>
              <a:gs pos="0">
                <a:srgbClr val="B432A8"/>
              </a:gs>
              <a:gs pos="100000">
                <a:srgbClr val="A02B93">
                  <a:lumMod val="50000"/>
                </a:srgbClr>
              </a:gs>
            </a:gsLst>
            <a:lin ang="5400000" scaled="0"/>
          </a:gradFill>
          <a:ln>
            <a:noFill/>
          </a:ln>
          <a:effectLst>
            <a:softEdge rad="0"/>
          </a:effectLst>
          <a:scene3d>
            <a:camera prst="orthographicFront"/>
            <a:lightRig rig="threePt" dir="t"/>
          </a:scene3d>
          <a:sp3d>
            <a:bevelT/>
            <a:bevelB/>
          </a:sp3d>
        </c:spPr>
      </c:pivotFmt>
      <c:pivotFmt>
        <c:idx val="107"/>
        <c:spPr>
          <a:gradFill>
            <a:gsLst>
              <a:gs pos="1000">
                <a:srgbClr val="FFFF15"/>
              </a:gs>
              <a:gs pos="100000">
                <a:srgbClr val="FFC000"/>
              </a:gs>
            </a:gsLst>
            <a:lin ang="5400000" scaled="0"/>
          </a:gradFill>
          <a:ln>
            <a:noFill/>
          </a:ln>
          <a:effectLst>
            <a:softEdge rad="0"/>
          </a:effectLst>
          <a:scene3d>
            <a:camera prst="orthographicFront"/>
            <a:lightRig rig="threePt" dir="t"/>
          </a:scene3d>
          <a:sp3d>
            <a:bevelT/>
            <a:bevelB/>
          </a:sp3d>
        </c:spPr>
      </c:pivotFmt>
      <c:pivotFmt>
        <c:idx val="108"/>
        <c:spPr>
          <a:gradFill>
            <a:gsLst>
              <a:gs pos="0">
                <a:srgbClr val="099B9F"/>
              </a:gs>
              <a:gs pos="100000">
                <a:srgbClr val="055557"/>
              </a:gs>
            </a:gsLst>
            <a:lin ang="5400000" scaled="0"/>
          </a:gradFill>
          <a:ln>
            <a:noFill/>
          </a:ln>
          <a:effectLst>
            <a:softEdge rad="0"/>
          </a:effectLst>
          <a:scene3d>
            <a:camera prst="orthographicFront"/>
            <a:lightRig rig="threePt" dir="t"/>
          </a:scene3d>
          <a:sp3d>
            <a:bevelT/>
            <a:bevelB/>
          </a:sp3d>
        </c:spPr>
      </c:pivotFmt>
      <c:pivotFmt>
        <c:idx val="109"/>
        <c:spPr>
          <a:gradFill>
            <a:gsLst>
              <a:gs pos="0">
                <a:srgbClr val="CF5417"/>
              </a:gs>
              <a:gs pos="100000">
                <a:srgbClr val="E97132">
                  <a:lumMod val="50000"/>
                </a:srgbClr>
              </a:gs>
            </a:gsLst>
            <a:lin ang="5400000" scaled="0"/>
          </a:gradFill>
          <a:ln>
            <a:noFill/>
          </a:ln>
          <a:effectLst>
            <a:softEdge rad="0"/>
          </a:effectLst>
          <a:scene3d>
            <a:camera prst="orthographicFront"/>
            <a:lightRig rig="threePt" dir="t"/>
          </a:scene3d>
          <a:sp3d>
            <a:bevelT/>
            <a:bevelB/>
          </a:sp3d>
        </c:spPr>
      </c:pivotFmt>
      <c:pivotFmt>
        <c:idx val="110"/>
        <c:spPr>
          <a:gradFill>
            <a:gsLst>
              <a:gs pos="0">
                <a:srgbClr val="A67A88"/>
              </a:gs>
              <a:gs pos="100000">
                <a:srgbClr val="5A3C45"/>
              </a:gs>
            </a:gsLst>
            <a:lin ang="5400000" scaled="0"/>
          </a:gradFill>
          <a:ln>
            <a:noFill/>
          </a:ln>
          <a:effectLst>
            <a:softEdge rad="0"/>
          </a:effectLst>
          <a:scene3d>
            <a:camera prst="orthographicFront"/>
            <a:lightRig rig="threePt" dir="t"/>
          </a:scene3d>
          <a:sp3d>
            <a:bevelT/>
            <a:bevelB/>
          </a:sp3d>
        </c:spPr>
      </c:pivotFmt>
      <c:pivotFmt>
        <c:idx val="111"/>
        <c:spPr>
          <a:gradFill>
            <a:gsLst>
              <a:gs pos="0">
                <a:srgbClr val="FF4747"/>
              </a:gs>
              <a:gs pos="100000">
                <a:srgbClr val="C00000"/>
              </a:gs>
            </a:gsLst>
            <a:lin ang="5400000" scaled="0"/>
          </a:gradFill>
          <a:ln>
            <a:noFill/>
          </a:ln>
          <a:effectLst>
            <a:softEdge rad="0"/>
          </a:effectLst>
          <a:scene3d>
            <a:camera prst="orthographicFront"/>
            <a:lightRig rig="threePt" dir="t"/>
          </a:scene3d>
          <a:sp3d>
            <a:bevelT/>
            <a:bevelB/>
          </a:sp3d>
        </c:spPr>
      </c:pivotFmt>
      <c:pivotFmt>
        <c:idx val="112"/>
        <c:spPr>
          <a:solidFill>
            <a:schemeClr val="accent1"/>
          </a:solidFill>
          <a:ln>
            <a:noFill/>
          </a:ln>
          <a:effectLst>
            <a:softEdge rad="0"/>
          </a:effectLst>
          <a:scene3d>
            <a:camera prst="orthographicFront"/>
            <a:lightRig rig="threePt" dir="t"/>
          </a:scene3d>
          <a:sp3d>
            <a:bevelT/>
            <a:bevelB/>
          </a:sp3d>
        </c:spPr>
      </c:pivotFmt>
      <c:pivotFmt>
        <c:idx val="113"/>
        <c:spPr>
          <a:solidFill>
            <a:schemeClr val="accent1"/>
          </a:solidFill>
          <a:ln>
            <a:noFill/>
          </a:ln>
          <a:effectLst>
            <a:softEdge rad="0"/>
          </a:effectLst>
          <a:scene3d>
            <a:camera prst="orthographicFront"/>
            <a:lightRig rig="threePt" dir="t"/>
          </a:scene3d>
          <a:sp3d>
            <a:bevelT/>
            <a:bevelB/>
          </a:sp3d>
        </c:spPr>
      </c:pivotFmt>
      <c:pivotFmt>
        <c:idx val="114"/>
        <c:spPr>
          <a:solidFill>
            <a:schemeClr val="accent1"/>
          </a:solidFill>
          <a:ln>
            <a:noFill/>
          </a:ln>
          <a:effectLst>
            <a:softEdge rad="0"/>
          </a:effectLst>
          <a:scene3d>
            <a:camera prst="orthographicFront"/>
            <a:lightRig rig="threePt" dir="t"/>
          </a:scene3d>
          <a:sp3d>
            <a:bevelT/>
            <a:bevelB/>
          </a:sp3d>
        </c:spPr>
      </c:pivotFmt>
      <c:pivotFmt>
        <c:idx val="115"/>
        <c:spPr>
          <a:solidFill>
            <a:schemeClr val="accent1"/>
          </a:solidFill>
          <a:ln>
            <a:noFill/>
          </a:ln>
          <a:effectLst>
            <a:softEdge rad="0"/>
          </a:effectLst>
          <a:scene3d>
            <a:camera prst="orthographicFront"/>
            <a:lightRig rig="threePt" dir="t"/>
          </a:scene3d>
          <a:sp3d>
            <a:bevelT/>
            <a:bevelB/>
          </a:sp3d>
        </c:spPr>
      </c:pivotFmt>
      <c:pivotFmt>
        <c:idx val="116"/>
        <c:spPr>
          <a:solidFill>
            <a:schemeClr val="accent1"/>
          </a:solidFill>
          <a:ln>
            <a:noFill/>
          </a:ln>
          <a:effectLst>
            <a:softEdge rad="0"/>
          </a:effectLst>
          <a:scene3d>
            <a:camera prst="orthographicFront"/>
            <a:lightRig rig="threePt" dir="t"/>
          </a:scene3d>
          <a:sp3d>
            <a:bevelT/>
            <a:bevelB/>
          </a:sp3d>
        </c:spPr>
      </c:pivotFmt>
      <c:pivotFmt>
        <c:idx val="117"/>
        <c:spPr>
          <a:solidFill>
            <a:schemeClr val="accent1"/>
          </a:solidFill>
          <a:ln>
            <a:noFill/>
          </a:ln>
          <a:effectLst>
            <a:softEdge rad="0"/>
          </a:effectLst>
          <a:scene3d>
            <a:camera prst="orthographicFront"/>
            <a:lightRig rig="threePt" dir="t"/>
          </a:scene3d>
          <a:sp3d>
            <a:bevelT/>
            <a:bevelB/>
          </a:sp3d>
        </c:spPr>
      </c:pivotFmt>
      <c:pivotFmt>
        <c:idx val="118"/>
        <c:spPr>
          <a:solidFill>
            <a:schemeClr val="accent1"/>
          </a:solidFill>
          <a:ln>
            <a:noFill/>
          </a:ln>
          <a:effectLst>
            <a:softEdge rad="0"/>
          </a:effectLst>
          <a:scene3d>
            <a:camera prst="orthographicFront"/>
            <a:lightRig rig="threePt" dir="t"/>
          </a:scene3d>
          <a:sp3d>
            <a:bevelT/>
            <a:bevelB/>
          </a:sp3d>
        </c:spPr>
      </c:pivotFmt>
      <c:pivotFmt>
        <c:idx val="119"/>
        <c:spPr>
          <a:solidFill>
            <a:schemeClr val="accent1"/>
          </a:solidFill>
          <a:ln>
            <a:noFill/>
          </a:ln>
          <a:effectLst>
            <a:softEdge rad="0"/>
          </a:effectLst>
          <a:scene3d>
            <a:camera prst="orthographicFront"/>
            <a:lightRig rig="threePt" dir="t"/>
          </a:scene3d>
          <a:sp3d>
            <a:bevelT/>
            <a:bevelB/>
          </a:sp3d>
        </c:spPr>
      </c:pivotFmt>
      <c:pivotFmt>
        <c:idx val="120"/>
        <c:spPr>
          <a:solidFill>
            <a:schemeClr val="accent1"/>
          </a:solidFill>
          <a:ln>
            <a:noFill/>
          </a:ln>
          <a:effectLst>
            <a:softEdge rad="0"/>
          </a:effectLst>
          <a:scene3d>
            <a:camera prst="orthographicFront"/>
            <a:lightRig rig="threePt" dir="t"/>
          </a:scene3d>
          <a:sp3d>
            <a:bevelT/>
            <a:bevelB/>
          </a:sp3d>
        </c:spPr>
      </c:pivotFmt>
      <c:pivotFmt>
        <c:idx val="121"/>
        <c:spPr>
          <a:solidFill>
            <a:schemeClr val="accent1"/>
          </a:solidFill>
          <a:ln>
            <a:noFill/>
          </a:ln>
          <a:effectLst>
            <a:softEdge rad="0"/>
          </a:effectLst>
          <a:scene3d>
            <a:camera prst="orthographicFront"/>
            <a:lightRig rig="threePt" dir="t"/>
          </a:scene3d>
          <a:sp3d>
            <a:bevelT/>
            <a:bevelB/>
          </a:sp3d>
        </c:spPr>
      </c:pivotFmt>
      <c:pivotFmt>
        <c:idx val="122"/>
        <c:spPr>
          <a:solidFill>
            <a:schemeClr val="accent1"/>
          </a:solidFill>
          <a:ln>
            <a:noFill/>
          </a:ln>
          <a:effectLst>
            <a:softEdge rad="0"/>
          </a:effectLst>
          <a:scene3d>
            <a:camera prst="orthographicFront"/>
            <a:lightRig rig="threePt" dir="t"/>
          </a:scene3d>
          <a:sp3d>
            <a:bevelT/>
            <a:bevelB/>
          </a:sp3d>
        </c:spPr>
      </c:pivotFmt>
      <c:pivotFmt>
        <c:idx val="123"/>
        <c:spPr>
          <a:solidFill>
            <a:schemeClr val="accent1"/>
          </a:solidFill>
          <a:ln>
            <a:noFill/>
          </a:ln>
          <a:effectLst>
            <a:softEdge rad="0"/>
          </a:effectLst>
          <a:scene3d>
            <a:camera prst="orthographicFront"/>
            <a:lightRig rig="threePt" dir="t"/>
          </a:scene3d>
          <a:sp3d>
            <a:bevelT/>
            <a:bevelB/>
          </a:sp3d>
        </c:spPr>
      </c:pivotFmt>
      <c:pivotFmt>
        <c:idx val="124"/>
        <c:spPr>
          <a:solidFill>
            <a:schemeClr val="accent1"/>
          </a:solidFill>
          <a:ln>
            <a:noFill/>
          </a:ln>
          <a:effectLst>
            <a:softEdge rad="0"/>
          </a:effectLst>
          <a:scene3d>
            <a:camera prst="orthographicFront"/>
            <a:lightRig rig="threePt" dir="t"/>
          </a:scene3d>
          <a:sp3d>
            <a:bevelT/>
            <a:bevelB/>
          </a:sp3d>
        </c:spPr>
      </c:pivotFmt>
      <c:pivotFmt>
        <c:idx val="125"/>
        <c:spPr>
          <a:solidFill>
            <a:schemeClr val="accent1"/>
          </a:solidFill>
          <a:ln>
            <a:noFill/>
          </a:ln>
          <a:effectLst>
            <a:softEdge rad="0"/>
          </a:effectLst>
          <a:scene3d>
            <a:camera prst="orthographicFront"/>
            <a:lightRig rig="threePt" dir="t"/>
          </a:scene3d>
          <a:sp3d>
            <a:bevelT/>
            <a:bevelB/>
          </a:sp3d>
        </c:spPr>
      </c:pivotFmt>
      <c:pivotFmt>
        <c:idx val="126"/>
        <c:spPr>
          <a:solidFill>
            <a:schemeClr val="accent1"/>
          </a:solidFill>
          <a:ln>
            <a:noFill/>
          </a:ln>
          <a:effectLst>
            <a:softEdge rad="0"/>
          </a:effectLst>
          <a:scene3d>
            <a:camera prst="orthographicFront"/>
            <a:lightRig rig="threePt" dir="t"/>
          </a:scene3d>
          <a:sp3d>
            <a:bevelT/>
            <a:bevelB/>
          </a:sp3d>
        </c:spPr>
      </c:pivotFmt>
      <c:pivotFmt>
        <c:idx val="127"/>
        <c:spPr>
          <a:solidFill>
            <a:schemeClr val="accent1"/>
          </a:solidFill>
          <a:ln>
            <a:noFill/>
          </a:ln>
          <a:effectLst>
            <a:softEdge rad="0"/>
          </a:effectLst>
          <a:scene3d>
            <a:camera prst="orthographicFront"/>
            <a:lightRig rig="threePt" dir="t"/>
          </a:scene3d>
          <a:sp3d>
            <a:bevelT/>
            <a:bevelB/>
          </a:sp3d>
        </c:spPr>
      </c:pivotFmt>
      <c:pivotFmt>
        <c:idx val="128"/>
        <c:spPr>
          <a:solidFill>
            <a:schemeClr val="accent1"/>
          </a:solidFill>
          <a:ln>
            <a:noFill/>
          </a:ln>
          <a:effectLst>
            <a:softEdge rad="0"/>
          </a:effectLst>
          <a:scene3d>
            <a:camera prst="orthographicFront"/>
            <a:lightRig rig="threePt" dir="t"/>
          </a:scene3d>
          <a:sp3d>
            <a:bevelT/>
            <a:bevelB/>
          </a:sp3d>
        </c:spPr>
      </c:pivotFmt>
      <c:pivotFmt>
        <c:idx val="129"/>
        <c:spPr>
          <a:solidFill>
            <a:schemeClr val="accent1"/>
          </a:solidFill>
          <a:ln>
            <a:noFill/>
          </a:ln>
          <a:effectLst>
            <a:softEdge rad="0"/>
          </a:effectLst>
          <a:scene3d>
            <a:camera prst="orthographicFront"/>
            <a:lightRig rig="threePt" dir="t"/>
          </a:scene3d>
          <a:sp3d>
            <a:bevelT/>
            <a:bevelB/>
          </a:sp3d>
        </c:spPr>
      </c:pivotFmt>
      <c:pivotFmt>
        <c:idx val="130"/>
        <c:spPr>
          <a:solidFill>
            <a:schemeClr val="accent1"/>
          </a:solidFill>
          <a:ln>
            <a:noFill/>
          </a:ln>
          <a:effectLst>
            <a:softEdge rad="0"/>
          </a:effectLst>
          <a:scene3d>
            <a:camera prst="orthographicFront"/>
            <a:lightRig rig="threePt" dir="t"/>
          </a:scene3d>
          <a:sp3d>
            <a:bevelT/>
            <a:bevelB/>
          </a:sp3d>
        </c:spPr>
      </c:pivotFmt>
      <c:pivotFmt>
        <c:idx val="131"/>
        <c:spPr>
          <a:solidFill>
            <a:schemeClr val="accent1"/>
          </a:solidFill>
          <a:ln>
            <a:noFill/>
          </a:ln>
          <a:effectLst>
            <a:softEdge rad="0"/>
          </a:effectLst>
          <a:scene3d>
            <a:camera prst="orthographicFront"/>
            <a:lightRig rig="threePt" dir="t"/>
          </a:scene3d>
          <a:sp3d>
            <a:bevelT/>
            <a:bevelB/>
          </a:sp3d>
        </c:spPr>
      </c:pivotFmt>
      <c:pivotFmt>
        <c:idx val="132"/>
        <c:spPr>
          <a:solidFill>
            <a:schemeClr val="accent1"/>
          </a:solidFill>
          <a:ln>
            <a:noFill/>
          </a:ln>
          <a:effectLst>
            <a:softEdge rad="0"/>
          </a:effectLst>
          <a:scene3d>
            <a:camera prst="orthographicFront"/>
            <a:lightRig rig="threePt" dir="t"/>
          </a:scene3d>
          <a:sp3d>
            <a:bevelT/>
            <a:bevelB/>
          </a:sp3d>
        </c:spPr>
      </c:pivotFmt>
      <c:pivotFmt>
        <c:idx val="133"/>
        <c:spPr>
          <a:solidFill>
            <a:schemeClr val="accent1"/>
          </a:solidFill>
          <a:ln>
            <a:noFill/>
          </a:ln>
          <a:effectLst>
            <a:softEdge rad="0"/>
          </a:effectLst>
          <a:scene3d>
            <a:camera prst="orthographicFront"/>
            <a:lightRig rig="threePt" dir="t"/>
          </a:scene3d>
          <a:sp3d>
            <a:bevelT/>
            <a:bevelB/>
          </a:sp3d>
        </c:spPr>
      </c:pivotFmt>
      <c:pivotFmt>
        <c:idx val="134"/>
        <c:spPr>
          <a:solidFill>
            <a:schemeClr val="accent1"/>
          </a:solidFill>
          <a:ln>
            <a:noFill/>
          </a:ln>
          <a:effectLst>
            <a:softEdge rad="0"/>
          </a:effectLst>
          <a:scene3d>
            <a:camera prst="orthographicFront"/>
            <a:lightRig rig="threePt" dir="t"/>
          </a:scene3d>
          <a:sp3d>
            <a:bevelT/>
            <a:bevelB/>
          </a:sp3d>
        </c:spPr>
      </c:pivotFmt>
      <c:pivotFmt>
        <c:idx val="135"/>
        <c:spPr>
          <a:solidFill>
            <a:schemeClr val="accent1"/>
          </a:solidFill>
          <a:ln>
            <a:noFill/>
          </a:ln>
          <a:effectLst>
            <a:softEdge rad="0"/>
          </a:effectLst>
          <a:scene3d>
            <a:camera prst="orthographicFront"/>
            <a:lightRig rig="threePt" dir="t"/>
          </a:scene3d>
          <a:sp3d>
            <a:bevelT/>
            <a:bevelB/>
          </a:sp3d>
        </c:spPr>
      </c:pivotFmt>
      <c:pivotFmt>
        <c:idx val="136"/>
        <c:spPr>
          <a:solidFill>
            <a:schemeClr val="accent1"/>
          </a:solidFill>
          <a:ln>
            <a:noFill/>
          </a:ln>
          <a:effectLst>
            <a:softEdge rad="0"/>
          </a:effectLst>
          <a:scene3d>
            <a:camera prst="orthographicFront"/>
            <a:lightRig rig="threePt" dir="t"/>
          </a:scene3d>
          <a:sp3d>
            <a:bevelT/>
            <a:bevelB/>
          </a:sp3d>
        </c:spPr>
      </c:pivotFmt>
      <c:pivotFmt>
        <c:idx val="137"/>
        <c:spPr>
          <a:solidFill>
            <a:schemeClr val="accent1"/>
          </a:solidFill>
          <a:ln>
            <a:noFill/>
          </a:ln>
          <a:effectLst>
            <a:softEdge rad="0"/>
          </a:effectLst>
          <a:scene3d>
            <a:camera prst="orthographicFront"/>
            <a:lightRig rig="threePt" dir="t"/>
          </a:scene3d>
          <a:sp3d>
            <a:bevelT/>
            <a:bevelB/>
          </a:sp3d>
        </c:spPr>
      </c:pivotFmt>
      <c:pivotFmt>
        <c:idx val="138"/>
        <c:spPr>
          <a:solidFill>
            <a:schemeClr val="accent1"/>
          </a:solidFill>
          <a:ln>
            <a:noFill/>
          </a:ln>
          <a:effectLst>
            <a:softEdge rad="0"/>
          </a:effectLst>
          <a:scene3d>
            <a:camera prst="orthographicFront"/>
            <a:lightRig rig="threePt" dir="t"/>
          </a:scene3d>
          <a:sp3d>
            <a:bevelT/>
            <a:bevelB/>
          </a:sp3d>
        </c:spPr>
      </c:pivotFmt>
      <c:pivotFmt>
        <c:idx val="139"/>
        <c:spPr>
          <a:solidFill>
            <a:schemeClr val="accent1"/>
          </a:solidFill>
          <a:ln>
            <a:noFill/>
          </a:ln>
          <a:effectLst>
            <a:softEdge rad="0"/>
          </a:effectLst>
          <a:scene3d>
            <a:camera prst="orthographicFront"/>
            <a:lightRig rig="threePt" dir="t"/>
          </a:scene3d>
          <a:sp3d>
            <a:bevelT/>
            <a:bevelB/>
          </a:sp3d>
        </c:spPr>
      </c:pivotFmt>
      <c:pivotFmt>
        <c:idx val="140"/>
        <c:spPr>
          <a:solidFill>
            <a:schemeClr val="accent1"/>
          </a:solidFill>
          <a:ln>
            <a:noFill/>
          </a:ln>
          <a:effectLst>
            <a:softEdge rad="0"/>
          </a:effectLst>
          <a:scene3d>
            <a:camera prst="orthographicFront"/>
            <a:lightRig rig="threePt" dir="t"/>
          </a:scene3d>
          <a:sp3d>
            <a:bevelT/>
            <a:bevelB/>
          </a:sp3d>
        </c:spPr>
      </c:pivotFmt>
      <c:pivotFmt>
        <c:idx val="141"/>
        <c:spPr>
          <a:solidFill>
            <a:schemeClr val="accent1"/>
          </a:solidFill>
          <a:ln>
            <a:noFill/>
          </a:ln>
          <a:effectLst>
            <a:softEdge rad="0"/>
          </a:effectLst>
          <a:scene3d>
            <a:camera prst="orthographicFront"/>
            <a:lightRig rig="threePt" dir="t"/>
          </a:scene3d>
          <a:sp3d>
            <a:bevelT/>
            <a:bevelB/>
          </a:sp3d>
        </c:spPr>
      </c:pivotFmt>
      <c:pivotFmt>
        <c:idx val="142"/>
        <c:spPr>
          <a:solidFill>
            <a:schemeClr val="accent1"/>
          </a:solidFill>
          <a:ln>
            <a:noFill/>
          </a:ln>
          <a:effectLst>
            <a:softEdge rad="0"/>
          </a:effectLst>
          <a:scene3d>
            <a:camera prst="orthographicFront"/>
            <a:lightRig rig="threePt" dir="t"/>
          </a:scene3d>
          <a:sp3d>
            <a:bevelT/>
            <a:bevelB/>
          </a:sp3d>
        </c:spPr>
      </c:pivotFmt>
      <c:pivotFmt>
        <c:idx val="143"/>
        <c:spPr>
          <a:solidFill>
            <a:schemeClr val="accent1"/>
          </a:solidFill>
          <a:ln>
            <a:noFill/>
          </a:ln>
          <a:effectLst>
            <a:softEdge rad="0"/>
          </a:effectLst>
          <a:scene3d>
            <a:camera prst="orthographicFront"/>
            <a:lightRig rig="threePt" dir="t"/>
          </a:scene3d>
          <a:sp3d>
            <a:bevelT/>
            <a:bevelB/>
          </a:sp3d>
        </c:spPr>
      </c:pivotFmt>
      <c:pivotFmt>
        <c:idx val="144"/>
        <c:spPr>
          <a:solidFill>
            <a:schemeClr val="accent1"/>
          </a:solidFill>
          <a:ln>
            <a:noFill/>
          </a:ln>
          <a:effectLst>
            <a:softEdge rad="0"/>
          </a:effectLst>
          <a:scene3d>
            <a:camera prst="orthographicFront"/>
            <a:lightRig rig="threePt" dir="t"/>
          </a:scene3d>
          <a:sp3d>
            <a:bevelT/>
            <a:bevelB/>
          </a:sp3d>
        </c:spPr>
      </c:pivotFmt>
    </c:pivotFmts>
    <c:plotArea>
      <c:layout>
        <c:manualLayout>
          <c:layoutTarget val="inner"/>
          <c:xMode val="edge"/>
          <c:yMode val="edge"/>
          <c:x val="5.9351803531510199E-2"/>
          <c:y val="0"/>
          <c:w val="0.89958874340860051"/>
          <c:h val="0.97065441885580173"/>
        </c:manualLayout>
      </c:layout>
      <c:doughnutChart>
        <c:varyColors val="1"/>
        <c:ser>
          <c:idx val="0"/>
          <c:order val="0"/>
          <c:tx>
            <c:strRef>
              <c:f>Categorías!$B$3</c:f>
              <c:strCache>
                <c:ptCount val="1"/>
                <c:pt idx="0">
                  <c:v>Total</c:v>
                </c:pt>
              </c:strCache>
            </c:strRef>
          </c:tx>
          <c:spPr>
            <a:effectLst>
              <a:softEdge rad="0"/>
            </a:effectLst>
            <a:scene3d>
              <a:camera prst="orthographicFront"/>
              <a:lightRig rig="threePt" dir="t"/>
            </a:scene3d>
            <a:sp3d>
              <a:bevelT/>
              <a:bevelB/>
            </a:sp3d>
          </c:spPr>
          <c:dPt>
            <c:idx val="0"/>
            <c:bubble3D val="0"/>
            <c:spPr>
              <a:solidFill>
                <a:schemeClr val="accent1"/>
              </a:solidFill>
              <a:ln>
                <a:noFill/>
              </a:ln>
              <a:effectLst>
                <a:softEdge rad="0"/>
              </a:effectLst>
              <a:scene3d>
                <a:camera prst="orthographicFront"/>
                <a:lightRig rig="threePt" dir="t"/>
              </a:scene3d>
              <a:sp3d>
                <a:bevelT/>
                <a:bevelB/>
              </a:sp3d>
            </c:spPr>
            <c:extLst>
              <c:ext xmlns:c16="http://schemas.microsoft.com/office/drawing/2014/chart" uri="{C3380CC4-5D6E-409C-BE32-E72D297353CC}">
                <c16:uniqueId val="{00000001-DFBC-412E-A0BE-146F9EFDD591}"/>
              </c:ext>
            </c:extLst>
          </c:dPt>
          <c:dPt>
            <c:idx val="1"/>
            <c:bubble3D val="0"/>
            <c:spPr>
              <a:solidFill>
                <a:schemeClr val="accent2"/>
              </a:solidFill>
              <a:ln>
                <a:noFill/>
              </a:ln>
              <a:effectLst>
                <a:softEdge rad="0"/>
              </a:effectLst>
              <a:scene3d>
                <a:camera prst="orthographicFront"/>
                <a:lightRig rig="threePt" dir="t"/>
              </a:scene3d>
              <a:sp3d>
                <a:bevelT/>
                <a:bevelB/>
              </a:sp3d>
            </c:spPr>
            <c:extLst>
              <c:ext xmlns:c16="http://schemas.microsoft.com/office/drawing/2014/chart" uri="{C3380CC4-5D6E-409C-BE32-E72D297353CC}">
                <c16:uniqueId val="{00000003-DFBC-412E-A0BE-146F9EFDD591}"/>
              </c:ext>
            </c:extLst>
          </c:dPt>
          <c:dPt>
            <c:idx val="2"/>
            <c:bubble3D val="0"/>
            <c:spPr>
              <a:solidFill>
                <a:schemeClr val="accent3"/>
              </a:solidFill>
              <a:ln>
                <a:noFill/>
              </a:ln>
              <a:effectLst>
                <a:softEdge rad="0"/>
              </a:effectLst>
              <a:scene3d>
                <a:camera prst="orthographicFront"/>
                <a:lightRig rig="threePt" dir="t"/>
              </a:scene3d>
              <a:sp3d>
                <a:bevelT/>
                <a:bevelB/>
              </a:sp3d>
            </c:spPr>
            <c:extLst>
              <c:ext xmlns:c16="http://schemas.microsoft.com/office/drawing/2014/chart" uri="{C3380CC4-5D6E-409C-BE32-E72D297353CC}">
                <c16:uniqueId val="{00000005-DFBC-412E-A0BE-146F9EFDD591}"/>
              </c:ext>
            </c:extLst>
          </c:dPt>
          <c:dPt>
            <c:idx val="3"/>
            <c:bubble3D val="0"/>
            <c:spPr>
              <a:solidFill>
                <a:schemeClr val="accent4"/>
              </a:solidFill>
              <a:ln>
                <a:noFill/>
              </a:ln>
              <a:effectLst>
                <a:softEdge rad="0"/>
              </a:effectLst>
              <a:scene3d>
                <a:camera prst="orthographicFront"/>
                <a:lightRig rig="threePt" dir="t"/>
              </a:scene3d>
              <a:sp3d>
                <a:bevelT/>
                <a:bevelB/>
              </a:sp3d>
            </c:spPr>
            <c:extLst>
              <c:ext xmlns:c16="http://schemas.microsoft.com/office/drawing/2014/chart" uri="{C3380CC4-5D6E-409C-BE32-E72D297353CC}">
                <c16:uniqueId val="{00000007-DFBC-412E-A0BE-146F9EFDD591}"/>
              </c:ext>
            </c:extLst>
          </c:dPt>
          <c:dPt>
            <c:idx val="4"/>
            <c:bubble3D val="0"/>
            <c:spPr>
              <a:solidFill>
                <a:schemeClr val="accent5"/>
              </a:solidFill>
              <a:ln>
                <a:noFill/>
              </a:ln>
              <a:effectLst>
                <a:softEdge rad="0"/>
              </a:effectLst>
              <a:scene3d>
                <a:camera prst="orthographicFront"/>
                <a:lightRig rig="threePt" dir="t"/>
              </a:scene3d>
              <a:sp3d>
                <a:bevelT/>
                <a:bevelB/>
              </a:sp3d>
            </c:spPr>
            <c:extLst>
              <c:ext xmlns:c16="http://schemas.microsoft.com/office/drawing/2014/chart" uri="{C3380CC4-5D6E-409C-BE32-E72D297353CC}">
                <c16:uniqueId val="{00000009-DFBC-412E-A0BE-146F9EFDD591}"/>
              </c:ext>
            </c:extLst>
          </c:dPt>
          <c:dPt>
            <c:idx val="5"/>
            <c:bubble3D val="0"/>
            <c:spPr>
              <a:solidFill>
                <a:schemeClr val="accent6"/>
              </a:solidFill>
              <a:ln>
                <a:noFill/>
              </a:ln>
              <a:effectLst>
                <a:softEdge rad="0"/>
              </a:effectLst>
              <a:scene3d>
                <a:camera prst="orthographicFront"/>
                <a:lightRig rig="threePt" dir="t"/>
              </a:scene3d>
              <a:sp3d>
                <a:bevelT/>
                <a:bevelB/>
              </a:sp3d>
            </c:spPr>
            <c:extLst>
              <c:ext xmlns:c16="http://schemas.microsoft.com/office/drawing/2014/chart" uri="{C3380CC4-5D6E-409C-BE32-E72D297353CC}">
                <c16:uniqueId val="{0000000B-DFBC-412E-A0BE-146F9EFDD591}"/>
              </c:ext>
            </c:extLst>
          </c:dPt>
          <c:dPt>
            <c:idx val="6"/>
            <c:bubble3D val="0"/>
            <c:spPr>
              <a:solidFill>
                <a:schemeClr val="accent1">
                  <a:lumMod val="60000"/>
                </a:schemeClr>
              </a:solidFill>
              <a:ln>
                <a:noFill/>
              </a:ln>
              <a:effectLst>
                <a:softEdge rad="0"/>
              </a:effectLst>
              <a:scene3d>
                <a:camera prst="orthographicFront"/>
                <a:lightRig rig="threePt" dir="t"/>
              </a:scene3d>
              <a:sp3d>
                <a:bevelT/>
                <a:bevelB/>
              </a:sp3d>
            </c:spPr>
            <c:extLst>
              <c:ext xmlns:c16="http://schemas.microsoft.com/office/drawing/2014/chart" uri="{C3380CC4-5D6E-409C-BE32-E72D297353CC}">
                <c16:uniqueId val="{0000000D-DFBC-412E-A0BE-146F9EFDD591}"/>
              </c:ext>
            </c:extLst>
          </c:dPt>
          <c:dPt>
            <c:idx val="7"/>
            <c:bubble3D val="0"/>
            <c:spPr>
              <a:solidFill>
                <a:schemeClr val="accent2">
                  <a:lumMod val="60000"/>
                </a:schemeClr>
              </a:solidFill>
              <a:ln>
                <a:noFill/>
              </a:ln>
              <a:effectLst>
                <a:softEdge rad="0"/>
              </a:effectLst>
              <a:scene3d>
                <a:camera prst="orthographicFront"/>
                <a:lightRig rig="threePt" dir="t"/>
              </a:scene3d>
              <a:sp3d>
                <a:bevelT/>
                <a:bevelB/>
              </a:sp3d>
            </c:spPr>
            <c:extLst>
              <c:ext xmlns:c16="http://schemas.microsoft.com/office/drawing/2014/chart" uri="{C3380CC4-5D6E-409C-BE32-E72D297353CC}">
                <c16:uniqueId val="{0000000F-DFBC-412E-A0BE-146F9EFDD591}"/>
              </c:ext>
            </c:extLst>
          </c:dPt>
          <c:dPt>
            <c:idx val="8"/>
            <c:bubble3D val="0"/>
            <c:spPr>
              <a:solidFill>
                <a:schemeClr val="accent3">
                  <a:lumMod val="60000"/>
                </a:schemeClr>
              </a:solidFill>
              <a:ln>
                <a:noFill/>
              </a:ln>
              <a:effectLst>
                <a:softEdge rad="0"/>
              </a:effectLst>
              <a:scene3d>
                <a:camera prst="orthographicFront"/>
                <a:lightRig rig="threePt" dir="t"/>
              </a:scene3d>
              <a:sp3d>
                <a:bevelT/>
                <a:bevelB/>
              </a:sp3d>
            </c:spPr>
            <c:extLst>
              <c:ext xmlns:c16="http://schemas.microsoft.com/office/drawing/2014/chart" uri="{C3380CC4-5D6E-409C-BE32-E72D297353CC}">
                <c16:uniqueId val="{00000011-DFBC-412E-A0BE-146F9EFDD591}"/>
              </c:ext>
            </c:extLst>
          </c:dPt>
          <c:dPt>
            <c:idx val="9"/>
            <c:bubble3D val="0"/>
            <c:spPr>
              <a:solidFill>
                <a:schemeClr val="accent4">
                  <a:lumMod val="60000"/>
                </a:schemeClr>
              </a:solidFill>
              <a:ln>
                <a:noFill/>
              </a:ln>
              <a:effectLst>
                <a:softEdge rad="0"/>
              </a:effectLst>
              <a:scene3d>
                <a:camera prst="orthographicFront"/>
                <a:lightRig rig="threePt" dir="t"/>
              </a:scene3d>
              <a:sp3d>
                <a:bevelT/>
                <a:bevelB/>
              </a:sp3d>
            </c:spPr>
            <c:extLst>
              <c:ext xmlns:c16="http://schemas.microsoft.com/office/drawing/2014/chart" uri="{C3380CC4-5D6E-409C-BE32-E72D297353CC}">
                <c16:uniqueId val="{00000013-DFBC-412E-A0BE-146F9EFDD591}"/>
              </c:ext>
            </c:extLst>
          </c:dPt>
          <c:dPt>
            <c:idx val="10"/>
            <c:bubble3D val="0"/>
            <c:spPr>
              <a:solidFill>
                <a:schemeClr val="accent5">
                  <a:lumMod val="60000"/>
                </a:schemeClr>
              </a:solidFill>
              <a:ln>
                <a:noFill/>
              </a:ln>
              <a:effectLst>
                <a:softEdge rad="0"/>
              </a:effectLst>
              <a:scene3d>
                <a:camera prst="orthographicFront"/>
                <a:lightRig rig="threePt" dir="t"/>
              </a:scene3d>
              <a:sp3d>
                <a:bevelT/>
                <a:bevelB/>
              </a:sp3d>
            </c:spPr>
            <c:extLst>
              <c:ext xmlns:c16="http://schemas.microsoft.com/office/drawing/2014/chart" uri="{C3380CC4-5D6E-409C-BE32-E72D297353CC}">
                <c16:uniqueId val="{00000015-F50B-45C0-B0AA-611E09DFFD9C}"/>
              </c:ext>
            </c:extLst>
          </c:dPt>
          <c:dPt>
            <c:idx val="11"/>
            <c:bubble3D val="0"/>
            <c:spPr>
              <a:solidFill>
                <a:schemeClr val="accent6">
                  <a:lumMod val="60000"/>
                </a:schemeClr>
              </a:solidFill>
              <a:ln>
                <a:noFill/>
              </a:ln>
              <a:effectLst>
                <a:softEdge rad="0"/>
              </a:effectLst>
              <a:scene3d>
                <a:camera prst="orthographicFront"/>
                <a:lightRig rig="threePt" dir="t"/>
              </a:scene3d>
              <a:sp3d>
                <a:bevelT/>
                <a:bevelB/>
              </a:sp3d>
            </c:spPr>
            <c:extLst>
              <c:ext xmlns:c16="http://schemas.microsoft.com/office/drawing/2014/chart" uri="{C3380CC4-5D6E-409C-BE32-E72D297353CC}">
                <c16:uniqueId val="{00000017-F50B-45C0-B0AA-611E09DFFD9C}"/>
              </c:ext>
            </c:extLst>
          </c:dPt>
          <c:dPt>
            <c:idx val="12"/>
            <c:bubble3D val="0"/>
            <c:spPr>
              <a:solidFill>
                <a:schemeClr val="accent1">
                  <a:lumMod val="80000"/>
                  <a:lumOff val="20000"/>
                </a:schemeClr>
              </a:solidFill>
              <a:ln>
                <a:noFill/>
              </a:ln>
              <a:effectLst>
                <a:softEdge rad="0"/>
              </a:effectLst>
              <a:scene3d>
                <a:camera prst="orthographicFront"/>
                <a:lightRig rig="threePt" dir="t"/>
              </a:scene3d>
              <a:sp3d>
                <a:bevelT/>
                <a:bevelB/>
              </a:sp3d>
            </c:spPr>
            <c:extLst>
              <c:ext xmlns:c16="http://schemas.microsoft.com/office/drawing/2014/chart" uri="{C3380CC4-5D6E-409C-BE32-E72D297353CC}">
                <c16:uniqueId val="{00000019-F50B-45C0-B0AA-611E09DFFD9C}"/>
              </c:ext>
            </c:extLst>
          </c:dPt>
          <c:dPt>
            <c:idx val="13"/>
            <c:bubble3D val="0"/>
            <c:spPr>
              <a:solidFill>
                <a:schemeClr val="accent2">
                  <a:lumMod val="80000"/>
                  <a:lumOff val="20000"/>
                </a:schemeClr>
              </a:solidFill>
              <a:ln>
                <a:noFill/>
              </a:ln>
              <a:effectLst>
                <a:softEdge rad="0"/>
              </a:effectLst>
              <a:scene3d>
                <a:camera prst="orthographicFront"/>
                <a:lightRig rig="threePt" dir="t"/>
              </a:scene3d>
              <a:sp3d>
                <a:bevelT/>
                <a:bevelB/>
              </a:sp3d>
            </c:spPr>
            <c:extLst>
              <c:ext xmlns:c16="http://schemas.microsoft.com/office/drawing/2014/chart" uri="{C3380CC4-5D6E-409C-BE32-E72D297353CC}">
                <c16:uniqueId val="{0000001B-F50B-45C0-B0AA-611E09DFFD9C}"/>
              </c:ext>
            </c:extLst>
          </c:dPt>
          <c:dPt>
            <c:idx val="14"/>
            <c:bubble3D val="0"/>
            <c:spPr>
              <a:solidFill>
                <a:schemeClr val="accent3">
                  <a:lumMod val="80000"/>
                  <a:lumOff val="20000"/>
                </a:schemeClr>
              </a:solidFill>
              <a:ln>
                <a:noFill/>
              </a:ln>
              <a:effectLst>
                <a:softEdge rad="0"/>
              </a:effectLst>
              <a:scene3d>
                <a:camera prst="orthographicFront"/>
                <a:lightRig rig="threePt" dir="t"/>
              </a:scene3d>
              <a:sp3d>
                <a:bevelT/>
                <a:bevelB/>
              </a:sp3d>
            </c:spPr>
            <c:extLst>
              <c:ext xmlns:c16="http://schemas.microsoft.com/office/drawing/2014/chart" uri="{C3380CC4-5D6E-409C-BE32-E72D297353CC}">
                <c16:uniqueId val="{0000001D-083E-4820-BFF0-E1B9B355617E}"/>
              </c:ext>
            </c:extLst>
          </c:dPt>
          <c:dPt>
            <c:idx val="15"/>
            <c:bubble3D val="0"/>
            <c:spPr>
              <a:solidFill>
                <a:schemeClr val="accent4">
                  <a:lumMod val="80000"/>
                  <a:lumOff val="20000"/>
                </a:schemeClr>
              </a:solidFill>
              <a:ln>
                <a:noFill/>
              </a:ln>
              <a:effectLst>
                <a:softEdge rad="0"/>
              </a:effectLst>
              <a:scene3d>
                <a:camera prst="orthographicFront"/>
                <a:lightRig rig="threePt" dir="t"/>
              </a:scene3d>
              <a:sp3d>
                <a:bevelT/>
                <a:bevelB/>
              </a:sp3d>
            </c:spPr>
            <c:extLst>
              <c:ext xmlns:c16="http://schemas.microsoft.com/office/drawing/2014/chart" uri="{C3380CC4-5D6E-409C-BE32-E72D297353CC}">
                <c16:uniqueId val="{0000001F-F2C7-4D0C-A7A0-BDE658DBF438}"/>
              </c:ext>
            </c:extLst>
          </c:dPt>
          <c:dPt>
            <c:idx val="16"/>
            <c:bubble3D val="0"/>
            <c:spPr>
              <a:solidFill>
                <a:schemeClr val="accent5">
                  <a:lumMod val="80000"/>
                  <a:lumOff val="20000"/>
                </a:schemeClr>
              </a:solidFill>
              <a:ln>
                <a:noFill/>
              </a:ln>
              <a:effectLst>
                <a:softEdge rad="0"/>
              </a:effectLst>
              <a:scene3d>
                <a:camera prst="orthographicFront"/>
                <a:lightRig rig="threePt" dir="t"/>
              </a:scene3d>
              <a:sp3d>
                <a:bevelT/>
                <a:bevelB/>
              </a:sp3d>
            </c:spPr>
            <c:extLst>
              <c:ext xmlns:c16="http://schemas.microsoft.com/office/drawing/2014/chart" uri="{C3380CC4-5D6E-409C-BE32-E72D297353CC}">
                <c16:uniqueId val="{00000021-F2C7-4D0C-A7A0-BDE658DBF438}"/>
              </c:ext>
            </c:extLst>
          </c:dPt>
          <c:dPt>
            <c:idx val="17"/>
            <c:bubble3D val="0"/>
            <c:spPr>
              <a:solidFill>
                <a:schemeClr val="accent6">
                  <a:lumMod val="80000"/>
                  <a:lumOff val="20000"/>
                </a:schemeClr>
              </a:solidFill>
              <a:ln>
                <a:noFill/>
              </a:ln>
              <a:effectLst>
                <a:softEdge rad="0"/>
              </a:effectLst>
              <a:scene3d>
                <a:camera prst="orthographicFront"/>
                <a:lightRig rig="threePt" dir="t"/>
              </a:scene3d>
              <a:sp3d>
                <a:bevelT/>
                <a:bevelB/>
              </a:sp3d>
            </c:spPr>
            <c:extLst>
              <c:ext xmlns:c16="http://schemas.microsoft.com/office/drawing/2014/chart" uri="{C3380CC4-5D6E-409C-BE32-E72D297353CC}">
                <c16:uniqueId val="{00000023-F2C7-4D0C-A7A0-BDE658DBF438}"/>
              </c:ext>
            </c:extLst>
          </c:dPt>
          <c:dPt>
            <c:idx val="18"/>
            <c:bubble3D val="0"/>
            <c:spPr>
              <a:solidFill>
                <a:schemeClr val="accent1">
                  <a:lumMod val="80000"/>
                </a:schemeClr>
              </a:solidFill>
              <a:ln>
                <a:noFill/>
              </a:ln>
              <a:effectLst>
                <a:softEdge rad="0"/>
              </a:effectLst>
              <a:scene3d>
                <a:camera prst="orthographicFront"/>
                <a:lightRig rig="threePt" dir="t"/>
              </a:scene3d>
              <a:sp3d>
                <a:bevelT/>
                <a:bevelB/>
              </a:sp3d>
            </c:spPr>
            <c:extLst>
              <c:ext xmlns:c16="http://schemas.microsoft.com/office/drawing/2014/chart" uri="{C3380CC4-5D6E-409C-BE32-E72D297353CC}">
                <c16:uniqueId val="{00000025-9440-438E-86D3-E647F114AE9D}"/>
              </c:ext>
            </c:extLst>
          </c:dPt>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Categorías!$A$4</c:f>
              <c:strCache>
                <c:ptCount val="1"/>
                <c:pt idx="0">
                  <c:v>Total general</c:v>
                </c:pt>
              </c:strCache>
            </c:strRef>
          </c:cat>
          <c:val>
            <c:numRef>
              <c:f>Categorías!$B$4</c:f>
              <c:numCache>
                <c:formatCode>"R$"\ #,##0.00</c:formatCode>
                <c:ptCount val="1"/>
              </c:numCache>
            </c:numRef>
          </c:val>
          <c:extLst>
            <c:ext xmlns:c16="http://schemas.microsoft.com/office/drawing/2014/chart" uri="{C3380CC4-5D6E-409C-BE32-E72D297353CC}">
              <c16:uniqueId val="{00000014-DFBC-412E-A0BE-146F9EFDD591}"/>
            </c:ext>
          </c:extLst>
        </c:ser>
        <c:dLbls>
          <c:showLegendKey val="0"/>
          <c:showVal val="0"/>
          <c:showCatName val="0"/>
          <c:showSerName val="0"/>
          <c:showPercent val="0"/>
          <c:showBubbleSize val="0"/>
          <c:showLeaderLines val="1"/>
        </c:dLbls>
        <c:firstSliceAng val="0"/>
        <c:holeSize val="61"/>
      </c:doughnutChart>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s-CO"/>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Control de Finanzas'!A1"/></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7.png"/><Relationship Id="rId18" Type="http://schemas.openxmlformats.org/officeDocument/2006/relationships/image" Target="../media/image16.svg"/><Relationship Id="rId26" Type="http://schemas.openxmlformats.org/officeDocument/2006/relationships/image" Target="../media/image14.png"/><Relationship Id="rId3" Type="http://schemas.openxmlformats.org/officeDocument/2006/relationships/chart" Target="../charts/chart1.xml"/><Relationship Id="rId21" Type="http://schemas.openxmlformats.org/officeDocument/2006/relationships/image" Target="../media/image19.svg"/><Relationship Id="rId7" Type="http://schemas.openxmlformats.org/officeDocument/2006/relationships/hyperlink" Target="#'Lista de Categor&#237;as'!A1"/><Relationship Id="rId12" Type="http://schemas.openxmlformats.org/officeDocument/2006/relationships/image" Target="../media/image10.svg"/><Relationship Id="rId17" Type="http://schemas.openxmlformats.org/officeDocument/2006/relationships/image" Target="../media/image9.png"/><Relationship Id="rId25" Type="http://schemas.openxmlformats.org/officeDocument/2006/relationships/image" Target="../media/image23.svg"/><Relationship Id="rId2" Type="http://schemas.openxmlformats.org/officeDocument/2006/relationships/image" Target="../media/image4.svg"/><Relationship Id="rId16" Type="http://schemas.openxmlformats.org/officeDocument/2006/relationships/image" Target="../media/image14.svg"/><Relationship Id="rId20" Type="http://schemas.openxmlformats.org/officeDocument/2006/relationships/image" Target="../media/image11.png"/><Relationship Id="rId1" Type="http://schemas.openxmlformats.org/officeDocument/2006/relationships/image" Target="../media/image3.png"/><Relationship Id="rId6" Type="http://schemas.openxmlformats.org/officeDocument/2006/relationships/image" Target="../media/image6.svg"/><Relationship Id="rId11" Type="http://schemas.openxmlformats.org/officeDocument/2006/relationships/image" Target="../media/image6.png"/><Relationship Id="rId24" Type="http://schemas.openxmlformats.org/officeDocument/2006/relationships/image" Target="../media/image13.png"/><Relationship Id="rId5" Type="http://schemas.openxmlformats.org/officeDocument/2006/relationships/image" Target="../media/image4.png"/><Relationship Id="rId15" Type="http://schemas.openxmlformats.org/officeDocument/2006/relationships/image" Target="../media/image8.png"/><Relationship Id="rId23" Type="http://schemas.openxmlformats.org/officeDocument/2006/relationships/image" Target="../media/image21.svg"/><Relationship Id="rId28" Type="http://schemas.openxmlformats.org/officeDocument/2006/relationships/chart" Target="../charts/chart3.xml"/><Relationship Id="rId10" Type="http://schemas.openxmlformats.org/officeDocument/2006/relationships/hyperlink" Target="#'Instrucciones y T&#233;rminos de Uso'!A1"/><Relationship Id="rId19" Type="http://schemas.openxmlformats.org/officeDocument/2006/relationships/image" Target="../media/image10.png"/><Relationship Id="rId4" Type="http://schemas.openxmlformats.org/officeDocument/2006/relationships/chart" Target="../charts/chart2.xml"/><Relationship Id="rId9" Type="http://schemas.openxmlformats.org/officeDocument/2006/relationships/image" Target="../media/image8.svg"/><Relationship Id="rId14" Type="http://schemas.openxmlformats.org/officeDocument/2006/relationships/image" Target="../media/image12.svg"/><Relationship Id="rId22" Type="http://schemas.openxmlformats.org/officeDocument/2006/relationships/image" Target="../media/image12.png"/><Relationship Id="rId27" Type="http://schemas.openxmlformats.org/officeDocument/2006/relationships/image" Target="../media/image25.svg"/></Relationships>
</file>

<file path=xl/drawings/_rels/drawing3.xml.rels><?xml version="1.0" encoding="UTF-8" standalone="yes"?>
<Relationships xmlns="http://schemas.openxmlformats.org/package/2006/relationships"><Relationship Id="rId1" Type="http://schemas.openxmlformats.org/officeDocument/2006/relationships/hyperlink" Target="#'Control de Finanzas'!A1"/></Relationships>
</file>

<file path=xl/drawings/drawing1.xml><?xml version="1.0" encoding="utf-8"?>
<xdr:wsDr xmlns:xdr="http://schemas.openxmlformats.org/drawingml/2006/spreadsheetDrawing" xmlns:a="http://schemas.openxmlformats.org/drawingml/2006/main">
  <xdr:twoCellAnchor editAs="oneCell">
    <xdr:from>
      <xdr:col>1</xdr:col>
      <xdr:colOff>7248525</xdr:colOff>
      <xdr:row>1</xdr:row>
      <xdr:rowOff>209550</xdr:rowOff>
    </xdr:from>
    <xdr:to>
      <xdr:col>1</xdr:col>
      <xdr:colOff>8734425</xdr:colOff>
      <xdr:row>2</xdr:row>
      <xdr:rowOff>28575</xdr:rowOff>
    </xdr:to>
    <xdr:sp macro="" textlink="">
      <xdr:nvSpPr>
        <xdr:cNvPr id="3" name="Retângulo: Cantos Arredondados 2">
          <a:hlinkClick xmlns:r="http://schemas.openxmlformats.org/officeDocument/2006/relationships" r:id="rId1"/>
          <a:extLst>
            <a:ext uri="{FF2B5EF4-FFF2-40B4-BE49-F238E27FC236}">
              <a16:creationId xmlns:a16="http://schemas.microsoft.com/office/drawing/2014/main" id="{7374E445-356D-49C8-B929-58115CA85005}"/>
            </a:ext>
          </a:extLst>
        </xdr:cNvPr>
        <xdr:cNvSpPr/>
      </xdr:nvSpPr>
      <xdr:spPr>
        <a:xfrm>
          <a:off x="8343900" y="371475"/>
          <a:ext cx="1485900" cy="314325"/>
        </a:xfrm>
        <a:prstGeom prst="roundRect">
          <a:avLst/>
        </a:prstGeom>
        <a:solidFill>
          <a:schemeClr val="dk1">
            <a:alpha val="85000"/>
          </a:schemeClr>
        </a:solidFill>
        <a:ln>
          <a:noFill/>
        </a:ln>
        <a:effectLst>
          <a:outerShdw blurRad="63500" sx="102000" sy="102000" algn="ctr"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b="1">
              <a:solidFill>
                <a:schemeClr val="lt1"/>
              </a:solidFill>
              <a:effectLst/>
              <a:latin typeface="+mn-lt"/>
              <a:ea typeface="+mn-ea"/>
              <a:cs typeface="+mn-cs"/>
            </a:rPr>
            <a:t>Control de Finanzas</a:t>
          </a:r>
        </a:p>
      </xdr:txBody>
    </xdr:sp>
    <xdr:clientData/>
  </xdr:twoCellAnchor>
  <xdr:twoCellAnchor editAs="oneCell">
    <xdr:from>
      <xdr:col>1</xdr:col>
      <xdr:colOff>6238875</xdr:colOff>
      <xdr:row>0</xdr:row>
      <xdr:rowOff>133350</xdr:rowOff>
    </xdr:from>
    <xdr:to>
      <xdr:col>1</xdr:col>
      <xdr:colOff>7229475</xdr:colOff>
      <xdr:row>3</xdr:row>
      <xdr:rowOff>19050</xdr:rowOff>
    </xdr:to>
    <xdr:pic>
      <xdr:nvPicPr>
        <xdr:cNvPr id="5" name="Imagem 4">
          <a:extLst>
            <a:ext uri="{FF2B5EF4-FFF2-40B4-BE49-F238E27FC236}">
              <a16:creationId xmlns:a16="http://schemas.microsoft.com/office/drawing/2014/main" id="{D1D591E9-F2BE-A600-812A-62B759AE257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9135" b="9135"/>
        <a:stretch/>
      </xdr:blipFill>
      <xdr:spPr>
        <a:xfrm>
          <a:off x="7334250" y="133350"/>
          <a:ext cx="990600" cy="8096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76199</xdr:colOff>
      <xdr:row>1</xdr:row>
      <xdr:rowOff>47624</xdr:rowOff>
    </xdr:from>
    <xdr:to>
      <xdr:col>21</xdr:col>
      <xdr:colOff>123824</xdr:colOff>
      <xdr:row>6</xdr:row>
      <xdr:rowOff>123826</xdr:rowOff>
    </xdr:to>
    <xdr:sp macro="" textlink="">
      <xdr:nvSpPr>
        <xdr:cNvPr id="17" name="Retângulo: Cantos Arredondados 16">
          <a:extLst>
            <a:ext uri="{FF2B5EF4-FFF2-40B4-BE49-F238E27FC236}">
              <a16:creationId xmlns:a16="http://schemas.microsoft.com/office/drawing/2014/main" id="{75DFC993-7519-4DF4-8C4E-7FED455D2905}"/>
            </a:ext>
          </a:extLst>
        </xdr:cNvPr>
        <xdr:cNvSpPr/>
      </xdr:nvSpPr>
      <xdr:spPr>
        <a:xfrm>
          <a:off x="6191249" y="238124"/>
          <a:ext cx="7172326" cy="1028702"/>
        </a:xfrm>
        <a:prstGeom prst="roundRect">
          <a:avLst>
            <a:gd name="adj" fmla="val 25758"/>
          </a:avLst>
        </a:prstGeom>
        <a:solidFill>
          <a:schemeClr val="dk1">
            <a:alpha val="85000"/>
          </a:schemeClr>
        </a:solidFill>
        <a:ln>
          <a:noFill/>
        </a:ln>
        <a:effectLst>
          <a:outerShdw blurRad="63500" sx="102000" sy="102000" algn="ctr"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p>
      </xdr:txBody>
    </xdr:sp>
    <xdr:clientData fLocksWithSheet="0"/>
  </xdr:twoCellAnchor>
  <xdr:twoCellAnchor editAs="oneCell">
    <xdr:from>
      <xdr:col>11</xdr:col>
      <xdr:colOff>57149</xdr:colOff>
      <xdr:row>0</xdr:row>
      <xdr:rowOff>123824</xdr:rowOff>
    </xdr:from>
    <xdr:to>
      <xdr:col>20</xdr:col>
      <xdr:colOff>190501</xdr:colOff>
      <xdr:row>6</xdr:row>
      <xdr:rowOff>114300</xdr:rowOff>
    </xdr:to>
    <mc:AlternateContent xmlns:mc="http://schemas.openxmlformats.org/markup-compatibility/2006" xmlns:tsle="http://schemas.microsoft.com/office/drawing/2012/timeslicer">
      <mc:Choice Requires="tsle">
        <xdr:graphicFrame macro="">
          <xdr:nvGraphicFramePr>
            <xdr:cNvPr id="51" name="FECHA">
              <a:extLst>
                <a:ext uri="{FF2B5EF4-FFF2-40B4-BE49-F238E27FC236}">
                  <a16:creationId xmlns:a16="http://schemas.microsoft.com/office/drawing/2014/main" id="{01DAA5E2-C350-796D-ACA2-014475A195C3}"/>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9753599" y="123824"/>
              <a:ext cx="5962652" cy="1133476"/>
            </a:xfrm>
            <a:prstGeom prst="rect">
              <a:avLst/>
            </a:prstGeom>
            <a:solidFill>
              <a:prstClr val="white"/>
            </a:solidFill>
            <a:ln w="1">
              <a:solidFill>
                <a:prstClr val="green"/>
              </a:solidFill>
            </a:ln>
          </xdr:spPr>
          <xdr:txBody>
            <a:bodyPr vertOverflow="clip" horzOverflow="clip"/>
            <a:lstStyle/>
            <a:p>
              <a:r>
                <a:rPr lang="es-MX" sz="1100"/>
                <a:t>Línea de tiempo: Funciona en Excel 2013 o superior. No mover ni cambiar el tamaño.</a:t>
              </a:r>
            </a:p>
          </xdr:txBody>
        </xdr:sp>
      </mc:Fallback>
    </mc:AlternateContent>
    <xdr:clientData/>
  </xdr:twoCellAnchor>
  <xdr:twoCellAnchor editAs="oneCell">
    <xdr:from>
      <xdr:col>17</xdr:col>
      <xdr:colOff>85725</xdr:colOff>
      <xdr:row>7</xdr:row>
      <xdr:rowOff>47625</xdr:rowOff>
    </xdr:from>
    <xdr:to>
      <xdr:col>21</xdr:col>
      <xdr:colOff>114300</xdr:colOff>
      <xdr:row>19</xdr:row>
      <xdr:rowOff>133350</xdr:rowOff>
    </xdr:to>
    <xdr:sp macro="" textlink="">
      <xdr:nvSpPr>
        <xdr:cNvPr id="50" name="Retângulo: Cantos Arredondados 21">
          <a:extLst>
            <a:ext uri="{FF2B5EF4-FFF2-40B4-BE49-F238E27FC236}">
              <a16:creationId xmlns:a16="http://schemas.microsoft.com/office/drawing/2014/main" id="{36DF0572-7444-4584-BBBC-4B80DD62D157}"/>
            </a:ext>
          </a:extLst>
        </xdr:cNvPr>
        <xdr:cNvSpPr/>
      </xdr:nvSpPr>
      <xdr:spPr>
        <a:xfrm>
          <a:off x="10591800" y="1381125"/>
          <a:ext cx="2619376" cy="2438400"/>
        </a:xfrm>
        <a:prstGeom prst="roundRect">
          <a:avLst>
            <a:gd name="adj" fmla="val 7971"/>
          </a:avLst>
        </a:prstGeom>
        <a:solidFill>
          <a:schemeClr val="dk1">
            <a:alpha val="85000"/>
          </a:schemeClr>
        </a:solidFill>
        <a:ln>
          <a:noFill/>
        </a:ln>
        <a:effectLst>
          <a:outerShdw blurRad="63500" sx="102000" sy="102000" algn="ctr"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p>
      </xdr:txBody>
    </xdr:sp>
    <xdr:clientData fLocksWithSheet="0"/>
  </xdr:twoCellAnchor>
  <xdr:twoCellAnchor editAs="oneCell">
    <xdr:from>
      <xdr:col>2</xdr:col>
      <xdr:colOff>206921</xdr:colOff>
      <xdr:row>8</xdr:row>
      <xdr:rowOff>85725</xdr:rowOff>
    </xdr:from>
    <xdr:to>
      <xdr:col>4</xdr:col>
      <xdr:colOff>975820</xdr:colOff>
      <xdr:row>11</xdr:row>
      <xdr:rowOff>114300</xdr:rowOff>
    </xdr:to>
    <xdr:sp macro="" textlink="">
      <xdr:nvSpPr>
        <xdr:cNvPr id="36" name="Retângulo: Cantos Arredondados 35">
          <a:extLst>
            <a:ext uri="{FF2B5EF4-FFF2-40B4-BE49-F238E27FC236}">
              <a16:creationId xmlns:a16="http://schemas.microsoft.com/office/drawing/2014/main" id="{7A5D46AA-C4C1-4E25-92CC-7F6CA0ED269A}"/>
            </a:ext>
          </a:extLst>
        </xdr:cNvPr>
        <xdr:cNvSpPr/>
      </xdr:nvSpPr>
      <xdr:spPr>
        <a:xfrm>
          <a:off x="1211973" y="1675415"/>
          <a:ext cx="3593554" cy="600075"/>
        </a:xfrm>
        <a:prstGeom prst="roundRect">
          <a:avLst/>
        </a:prstGeom>
        <a:solidFill>
          <a:schemeClr val="dk1">
            <a:alpha val="85000"/>
          </a:schemeClr>
        </a:solidFill>
        <a:ln>
          <a:noFill/>
        </a:ln>
        <a:effectLst>
          <a:outerShdw blurRad="63500" sx="102000" sy="102000" algn="ctr"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p>
      </xdr:txBody>
    </xdr:sp>
    <xdr:clientData fLocksWithSheet="0"/>
  </xdr:twoCellAnchor>
  <xdr:twoCellAnchor editAs="oneCell">
    <xdr:from>
      <xdr:col>10</xdr:col>
      <xdr:colOff>76200</xdr:colOff>
      <xdr:row>7</xdr:row>
      <xdr:rowOff>47625</xdr:rowOff>
    </xdr:from>
    <xdr:to>
      <xdr:col>14</xdr:col>
      <xdr:colOff>104775</xdr:colOff>
      <xdr:row>19</xdr:row>
      <xdr:rowOff>133350</xdr:rowOff>
    </xdr:to>
    <xdr:sp macro="" textlink="">
      <xdr:nvSpPr>
        <xdr:cNvPr id="22" name="Retângulo: Cantos Arredondados 21">
          <a:extLst>
            <a:ext uri="{FF2B5EF4-FFF2-40B4-BE49-F238E27FC236}">
              <a16:creationId xmlns:a16="http://schemas.microsoft.com/office/drawing/2014/main" id="{83329BC0-2E05-D419-CC81-271136786D27}"/>
            </a:ext>
          </a:extLst>
        </xdr:cNvPr>
        <xdr:cNvSpPr/>
      </xdr:nvSpPr>
      <xdr:spPr>
        <a:xfrm>
          <a:off x="6048375" y="1381125"/>
          <a:ext cx="2619376" cy="2438400"/>
        </a:xfrm>
        <a:prstGeom prst="roundRect">
          <a:avLst>
            <a:gd name="adj" fmla="val 7971"/>
          </a:avLst>
        </a:prstGeom>
        <a:solidFill>
          <a:schemeClr val="dk1">
            <a:alpha val="85000"/>
          </a:schemeClr>
        </a:solidFill>
        <a:ln>
          <a:noFill/>
        </a:ln>
        <a:effectLst>
          <a:outerShdw blurRad="63500" sx="102000" sy="102000" algn="ctr"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p>
      </xdr:txBody>
    </xdr:sp>
    <xdr:clientData fLocksWithSheet="0"/>
  </xdr:twoCellAnchor>
  <xdr:twoCellAnchor editAs="oneCell">
    <xdr:from>
      <xdr:col>10</xdr:col>
      <xdr:colOff>76199</xdr:colOff>
      <xdr:row>20</xdr:row>
      <xdr:rowOff>47625</xdr:rowOff>
    </xdr:from>
    <xdr:to>
      <xdr:col>21</xdr:col>
      <xdr:colOff>104773</xdr:colOff>
      <xdr:row>35</xdr:row>
      <xdr:rowOff>114300</xdr:rowOff>
    </xdr:to>
    <xdr:sp macro="" textlink="">
      <xdr:nvSpPr>
        <xdr:cNvPr id="26" name="Retângulo: Cantos Arredondados 25">
          <a:extLst>
            <a:ext uri="{FF2B5EF4-FFF2-40B4-BE49-F238E27FC236}">
              <a16:creationId xmlns:a16="http://schemas.microsoft.com/office/drawing/2014/main" id="{4EE092B3-C480-4765-BE75-67C733ED8049}"/>
            </a:ext>
          </a:extLst>
        </xdr:cNvPr>
        <xdr:cNvSpPr/>
      </xdr:nvSpPr>
      <xdr:spPr>
        <a:xfrm>
          <a:off x="6048374" y="3924300"/>
          <a:ext cx="7153275" cy="2924175"/>
        </a:xfrm>
        <a:prstGeom prst="roundRect">
          <a:avLst>
            <a:gd name="adj" fmla="val 7238"/>
          </a:avLst>
        </a:prstGeom>
        <a:solidFill>
          <a:schemeClr val="dk1">
            <a:alpha val="85000"/>
          </a:schemeClr>
        </a:solidFill>
        <a:ln>
          <a:noFill/>
        </a:ln>
        <a:effectLst>
          <a:outerShdw blurRad="63500" sx="102000" sy="102000" algn="ctr"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p>
      </xdr:txBody>
    </xdr:sp>
    <xdr:clientData fLocksWithSheet="0"/>
  </xdr:twoCellAnchor>
  <xdr:twoCellAnchor>
    <xdr:from>
      <xdr:col>14</xdr:col>
      <xdr:colOff>128587</xdr:colOff>
      <xdr:row>14</xdr:row>
      <xdr:rowOff>127438</xdr:rowOff>
    </xdr:from>
    <xdr:to>
      <xdr:col>17</xdr:col>
      <xdr:colOff>57150</xdr:colOff>
      <xdr:row>17</xdr:row>
      <xdr:rowOff>104578</xdr:rowOff>
    </xdr:to>
    <xdr:grpSp>
      <xdr:nvGrpSpPr>
        <xdr:cNvPr id="45" name="Group 44">
          <a:extLst>
            <a:ext uri="{FF2B5EF4-FFF2-40B4-BE49-F238E27FC236}">
              <a16:creationId xmlns:a16="http://schemas.microsoft.com/office/drawing/2014/main" id="{A645A834-E797-3304-04E1-A3A93C64FDD7}"/>
            </a:ext>
          </a:extLst>
        </xdr:cNvPr>
        <xdr:cNvGrpSpPr/>
      </xdr:nvGrpSpPr>
      <xdr:grpSpPr>
        <a:xfrm>
          <a:off x="11006137" y="2699188"/>
          <a:ext cx="2157413" cy="510540"/>
          <a:chOff x="9839324" y="2905125"/>
          <a:chExt cx="2162176" cy="676274"/>
        </a:xfrm>
      </xdr:grpSpPr>
      <xdr:sp macro="" textlink="">
        <xdr:nvSpPr>
          <xdr:cNvPr id="19" name="Retângulo: Cantos Arredondados 18">
            <a:extLst>
              <a:ext uri="{FF2B5EF4-FFF2-40B4-BE49-F238E27FC236}">
                <a16:creationId xmlns:a16="http://schemas.microsoft.com/office/drawing/2014/main" id="{11C6D45C-C99E-4B8B-B91E-F887B4455578}"/>
              </a:ext>
            </a:extLst>
          </xdr:cNvPr>
          <xdr:cNvSpPr/>
        </xdr:nvSpPr>
        <xdr:spPr>
          <a:xfrm>
            <a:off x="9839324" y="2924173"/>
            <a:ext cx="2162176" cy="657226"/>
          </a:xfrm>
          <a:prstGeom prst="roundRect">
            <a:avLst>
              <a:gd name="adj" fmla="val 50000"/>
            </a:avLst>
          </a:prstGeom>
          <a:solidFill>
            <a:schemeClr val="dk1">
              <a:alpha val="85000"/>
            </a:schemeClr>
          </a:solidFill>
          <a:ln>
            <a:noFill/>
          </a:ln>
          <a:effectLst>
            <a:outerShdw blurRad="63500" sx="102000" sy="102000" algn="ctr"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pt-BR" sz="1200"/>
          </a:p>
        </xdr:txBody>
      </xdr:sp>
      <xdr:sp macro="" textlink="">
        <xdr:nvSpPr>
          <xdr:cNvPr id="25" name="CaixaDeTexto 24">
            <a:extLst>
              <a:ext uri="{FF2B5EF4-FFF2-40B4-BE49-F238E27FC236}">
                <a16:creationId xmlns:a16="http://schemas.microsoft.com/office/drawing/2014/main" id="{2090AB92-0CF8-4CF7-9762-96F8ED6F1D22}"/>
              </a:ext>
            </a:extLst>
          </xdr:cNvPr>
          <xdr:cNvSpPr txBox="1"/>
        </xdr:nvSpPr>
        <xdr:spPr>
          <a:xfrm>
            <a:off x="9845123" y="2905125"/>
            <a:ext cx="2146852"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a:solidFill>
                  <a:schemeClr val="bg1"/>
                </a:solidFill>
              </a:rPr>
              <a:t>RESULTADO</a:t>
            </a:r>
            <a:endParaRPr lang="en-US" sz="1400" b="0" i="0" u="none" strike="noStrike">
              <a:solidFill>
                <a:schemeClr val="bg1"/>
              </a:solidFill>
              <a:latin typeface="Aptos Narrow"/>
            </a:endParaRPr>
          </a:p>
        </xdr:txBody>
      </xdr:sp>
      <xdr:sp macro="" textlink="Movimientos!D1">
        <xdr:nvSpPr>
          <xdr:cNvPr id="21" name="CaixaDeTexto 20">
            <a:extLst>
              <a:ext uri="{FF2B5EF4-FFF2-40B4-BE49-F238E27FC236}">
                <a16:creationId xmlns:a16="http://schemas.microsoft.com/office/drawing/2014/main" id="{70D5C99D-7A14-AB73-9E32-FE65B0F539BE}"/>
              </a:ext>
            </a:extLst>
          </xdr:cNvPr>
          <xdr:cNvSpPr txBox="1"/>
        </xdr:nvSpPr>
        <xdr:spPr>
          <a:xfrm>
            <a:off x="9867900" y="3267076"/>
            <a:ext cx="21240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DBD7A6-67B7-474B-91BC-0A94FDBBE6D9}" type="TxLink">
              <a:rPr lang="en-US" sz="1600" b="1" i="0" u="none" strike="noStrike">
                <a:solidFill>
                  <a:srgbClr val="08F825"/>
                </a:solidFill>
                <a:latin typeface="Aptos Narrow"/>
              </a:rPr>
              <a:pPr algn="ctr"/>
              <a:t>-</a:t>
            </a:fld>
            <a:endParaRPr lang="pt-BR" sz="2000" b="1">
              <a:solidFill>
                <a:srgbClr val="08F825"/>
              </a:solidFill>
            </a:endParaRPr>
          </a:p>
        </xdr:txBody>
      </xdr:sp>
    </xdr:grpSp>
    <xdr:clientData fLocksWithSheet="0"/>
  </xdr:twoCellAnchor>
  <xdr:twoCellAnchor editAs="oneCell">
    <xdr:from>
      <xdr:col>10</xdr:col>
      <xdr:colOff>123825</xdr:colOff>
      <xdr:row>20</xdr:row>
      <xdr:rowOff>19050</xdr:rowOff>
    </xdr:from>
    <xdr:to>
      <xdr:col>21</xdr:col>
      <xdr:colOff>104774</xdr:colOff>
      <xdr:row>22</xdr:row>
      <xdr:rowOff>123825</xdr:rowOff>
    </xdr:to>
    <xdr:sp macro="" textlink="">
      <xdr:nvSpPr>
        <xdr:cNvPr id="28" name="CaixaDeTexto 27">
          <a:extLst>
            <a:ext uri="{FF2B5EF4-FFF2-40B4-BE49-F238E27FC236}">
              <a16:creationId xmlns:a16="http://schemas.microsoft.com/office/drawing/2014/main" id="{C1B0F04E-47F1-48BF-85F7-A88F824093F5}"/>
            </a:ext>
          </a:extLst>
        </xdr:cNvPr>
        <xdr:cNvSpPr txBox="1"/>
      </xdr:nvSpPr>
      <xdr:spPr>
        <a:xfrm>
          <a:off x="6096000" y="3895725"/>
          <a:ext cx="7105650"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2000" b="1">
              <a:solidFill>
                <a:schemeClr val="bg1"/>
              </a:solidFill>
            </a:rPr>
            <a:t>MOVIMIENTOS POR CATEGORÍA</a:t>
          </a:r>
          <a:endParaRPr lang="en-US" sz="2000" b="1" i="0" u="none" strike="noStrike">
            <a:solidFill>
              <a:schemeClr val="bg1"/>
            </a:solidFill>
            <a:latin typeface="Aptos Narrow"/>
          </a:endParaRPr>
        </a:p>
      </xdr:txBody>
    </xdr:sp>
    <xdr:clientData fLocksWithSheet="0"/>
  </xdr:twoCellAnchor>
  <xdr:twoCellAnchor editAs="oneCell">
    <xdr:from>
      <xdr:col>10</xdr:col>
      <xdr:colOff>142876</xdr:colOff>
      <xdr:row>7</xdr:row>
      <xdr:rowOff>114301</xdr:rowOff>
    </xdr:from>
    <xdr:to>
      <xdr:col>14</xdr:col>
      <xdr:colOff>161924</xdr:colOff>
      <xdr:row>9</xdr:row>
      <xdr:rowOff>28576</xdr:rowOff>
    </xdr:to>
    <xdr:sp macro="" textlink="">
      <xdr:nvSpPr>
        <xdr:cNvPr id="29" name="CaixaDeTexto 28">
          <a:extLst>
            <a:ext uri="{FF2B5EF4-FFF2-40B4-BE49-F238E27FC236}">
              <a16:creationId xmlns:a16="http://schemas.microsoft.com/office/drawing/2014/main" id="{8D1241B2-0561-4986-B7E3-A42923BB7A3A}"/>
            </a:ext>
          </a:extLst>
        </xdr:cNvPr>
        <xdr:cNvSpPr txBox="1"/>
      </xdr:nvSpPr>
      <xdr:spPr>
        <a:xfrm>
          <a:off x="6115051" y="1447801"/>
          <a:ext cx="2609849"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800" b="1">
              <a:solidFill>
                <a:schemeClr val="bg1"/>
              </a:solidFill>
            </a:rPr>
            <a:t>MOVIMIENTOS</a:t>
          </a:r>
          <a:endParaRPr lang="en-US" sz="1050" b="1" i="0" u="none" strike="noStrike">
            <a:solidFill>
              <a:schemeClr val="bg1"/>
            </a:solidFill>
            <a:latin typeface="Aptos Narrow"/>
          </a:endParaRPr>
        </a:p>
      </xdr:txBody>
    </xdr:sp>
    <xdr:clientData fLocksWithSheet="0"/>
  </xdr:twoCellAnchor>
  <xdr:twoCellAnchor editAs="oneCell">
    <xdr:from>
      <xdr:col>2</xdr:col>
      <xdr:colOff>461470</xdr:colOff>
      <xdr:row>8</xdr:row>
      <xdr:rowOff>171449</xdr:rowOff>
    </xdr:from>
    <xdr:to>
      <xdr:col>2</xdr:col>
      <xdr:colOff>1880695</xdr:colOff>
      <xdr:row>11</xdr:row>
      <xdr:rowOff>19049</xdr:rowOff>
    </xdr:to>
    <xdr:sp macro="[0]!Macro3" textlink="">
      <xdr:nvSpPr>
        <xdr:cNvPr id="3" name="Retângulo: Cantos Arredondados 2">
          <a:extLst>
            <a:ext uri="{FF2B5EF4-FFF2-40B4-BE49-F238E27FC236}">
              <a16:creationId xmlns:a16="http://schemas.microsoft.com/office/drawing/2014/main" id="{EC1D16EB-B7AD-8362-41B8-A768C0530563}"/>
            </a:ext>
          </a:extLst>
        </xdr:cNvPr>
        <xdr:cNvSpPr/>
      </xdr:nvSpPr>
      <xdr:spPr>
        <a:xfrm>
          <a:off x="1466522" y="1761139"/>
          <a:ext cx="1419225" cy="419100"/>
        </a:xfrm>
        <a:prstGeom prst="roundRect">
          <a:avLst/>
        </a:prstGeom>
        <a:gradFill flip="none" rotWithShape="1">
          <a:gsLst>
            <a:gs pos="0">
              <a:srgbClr val="1B7325"/>
            </a:gs>
            <a:gs pos="100000">
              <a:schemeClr val="accent3">
                <a:lumMod val="50000"/>
              </a:schemeClr>
            </a:gs>
          </a:gsLst>
          <a:lin ang="2700000" scaled="1"/>
          <a:tileRect/>
        </a:gradFill>
        <a:ln>
          <a:noFill/>
        </a:ln>
        <a:scene3d>
          <a:camera prst="orthographicFront"/>
          <a:lightRig rig="threePt" dir="t"/>
        </a:scene3d>
        <a:sp3d>
          <a:bevel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      </a:t>
          </a:r>
          <a:r>
            <a:rPr lang="pt-BR" sz="1200" b="1"/>
            <a:t>REGISTRAR</a:t>
          </a:r>
          <a:endParaRPr lang="pt-BR" sz="1400" b="1"/>
        </a:p>
      </xdr:txBody>
    </xdr:sp>
    <xdr:clientData fLocksWithSheet="0"/>
  </xdr:twoCellAnchor>
  <xdr:twoCellAnchor editAs="oneCell">
    <xdr:from>
      <xdr:col>2</xdr:col>
      <xdr:colOff>546177</xdr:colOff>
      <xdr:row>9</xdr:row>
      <xdr:rowOff>45226</xdr:rowOff>
    </xdr:from>
    <xdr:to>
      <xdr:col>2</xdr:col>
      <xdr:colOff>823493</xdr:colOff>
      <xdr:row>10</xdr:row>
      <xdr:rowOff>142875</xdr:rowOff>
    </xdr:to>
    <xdr:pic>
      <xdr:nvPicPr>
        <xdr:cNvPr id="9" name="Gráfico 8" descr="Baixar com preenchimento sólido">
          <a:extLst>
            <a:ext uri="{FF2B5EF4-FFF2-40B4-BE49-F238E27FC236}">
              <a16:creationId xmlns:a16="http://schemas.microsoft.com/office/drawing/2014/main" id="{038907EB-ACFD-5A53-03F9-9A0FCC834E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1551229" y="1825416"/>
          <a:ext cx="277316" cy="288149"/>
        </a:xfrm>
        <a:prstGeom prst="rect">
          <a:avLst/>
        </a:prstGeom>
      </xdr:spPr>
    </xdr:pic>
    <xdr:clientData fLocksWithSheet="0"/>
  </xdr:twoCellAnchor>
  <xdr:twoCellAnchor editAs="oneCell">
    <xdr:from>
      <xdr:col>10</xdr:col>
      <xdr:colOff>142875</xdr:colOff>
      <xdr:row>7</xdr:row>
      <xdr:rowOff>95250</xdr:rowOff>
    </xdr:from>
    <xdr:to>
      <xdr:col>14</xdr:col>
      <xdr:colOff>152400</xdr:colOff>
      <xdr:row>19</xdr:row>
      <xdr:rowOff>114300</xdr:rowOff>
    </xdr:to>
    <xdr:graphicFrame macro="">
      <xdr:nvGraphicFramePr>
        <xdr:cNvPr id="4" name="Gráfico 3">
          <a:extLst>
            <a:ext uri="{FF2B5EF4-FFF2-40B4-BE49-F238E27FC236}">
              <a16:creationId xmlns:a16="http://schemas.microsoft.com/office/drawing/2014/main" id="{F26B1946-88F0-4AAF-BF17-27180D2A57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editAs="oneCell">
    <xdr:from>
      <xdr:col>10</xdr:col>
      <xdr:colOff>85726</xdr:colOff>
      <xdr:row>22</xdr:row>
      <xdr:rowOff>9525</xdr:rowOff>
    </xdr:from>
    <xdr:to>
      <xdr:col>21</xdr:col>
      <xdr:colOff>95249</xdr:colOff>
      <xdr:row>35</xdr:row>
      <xdr:rowOff>85724</xdr:rowOff>
    </xdr:to>
    <xdr:graphicFrame macro="">
      <xdr:nvGraphicFramePr>
        <xdr:cNvPr id="8" name="Gráfico 7">
          <a:extLst>
            <a:ext uri="{FF2B5EF4-FFF2-40B4-BE49-F238E27FC236}">
              <a16:creationId xmlns:a16="http://schemas.microsoft.com/office/drawing/2014/main" id="{683B62FE-5DAD-47CC-BDEA-D3E43AC132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14</xdr:col>
      <xdr:colOff>128587</xdr:colOff>
      <xdr:row>11</xdr:row>
      <xdr:rowOff>107732</xdr:rowOff>
    </xdr:from>
    <xdr:to>
      <xdr:col>17</xdr:col>
      <xdr:colOff>57150</xdr:colOff>
      <xdr:row>14</xdr:row>
      <xdr:rowOff>84872</xdr:rowOff>
    </xdr:to>
    <xdr:grpSp>
      <xdr:nvGrpSpPr>
        <xdr:cNvPr id="43" name="Group 42">
          <a:extLst>
            <a:ext uri="{FF2B5EF4-FFF2-40B4-BE49-F238E27FC236}">
              <a16:creationId xmlns:a16="http://schemas.microsoft.com/office/drawing/2014/main" id="{C3F7E85C-37AB-F0A5-0C68-7A32505A816F}"/>
            </a:ext>
          </a:extLst>
        </xdr:cNvPr>
        <xdr:cNvGrpSpPr/>
      </xdr:nvGrpSpPr>
      <xdr:grpSpPr>
        <a:xfrm>
          <a:off x="11006137" y="2146082"/>
          <a:ext cx="2157413" cy="510540"/>
          <a:chOff x="9848849" y="2076450"/>
          <a:chExt cx="2162176" cy="676274"/>
        </a:xfrm>
      </xdr:grpSpPr>
      <xdr:sp macro="" textlink="">
        <xdr:nvSpPr>
          <xdr:cNvPr id="18" name="Retângulo: Cantos Arredondados 17">
            <a:extLst>
              <a:ext uri="{FF2B5EF4-FFF2-40B4-BE49-F238E27FC236}">
                <a16:creationId xmlns:a16="http://schemas.microsoft.com/office/drawing/2014/main" id="{B6725B60-ACA3-45F9-84CF-5C062DA47227}"/>
              </a:ext>
            </a:extLst>
          </xdr:cNvPr>
          <xdr:cNvSpPr/>
        </xdr:nvSpPr>
        <xdr:spPr>
          <a:xfrm>
            <a:off x="9848849" y="2105023"/>
            <a:ext cx="2162176" cy="647701"/>
          </a:xfrm>
          <a:prstGeom prst="roundRect">
            <a:avLst>
              <a:gd name="adj" fmla="val 50000"/>
            </a:avLst>
          </a:prstGeom>
          <a:solidFill>
            <a:schemeClr val="dk1">
              <a:alpha val="85000"/>
            </a:schemeClr>
          </a:solidFill>
          <a:ln>
            <a:noFill/>
          </a:ln>
          <a:effectLst>
            <a:outerShdw blurRad="63500" sx="102000" sy="102000" algn="ctr"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p>
        </xdr:txBody>
      </xdr:sp>
      <xdr:sp macro="" textlink="">
        <xdr:nvSpPr>
          <xdr:cNvPr id="24" name="CaixaDeTexto 23">
            <a:extLst>
              <a:ext uri="{FF2B5EF4-FFF2-40B4-BE49-F238E27FC236}">
                <a16:creationId xmlns:a16="http://schemas.microsoft.com/office/drawing/2014/main" id="{5119E38F-27EB-4A0D-92BF-36C53A92B44B}"/>
              </a:ext>
            </a:extLst>
          </xdr:cNvPr>
          <xdr:cNvSpPr txBox="1"/>
        </xdr:nvSpPr>
        <xdr:spPr>
          <a:xfrm>
            <a:off x="9869971" y="2076450"/>
            <a:ext cx="2102955"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a:solidFill>
                  <a:schemeClr val="bg1"/>
                </a:solidFill>
              </a:rPr>
              <a:t>GASTOS</a:t>
            </a:r>
            <a:endParaRPr lang="en-US" sz="1400" b="0" i="0" u="none" strike="noStrike">
              <a:solidFill>
                <a:schemeClr val="bg1"/>
              </a:solidFill>
              <a:latin typeface="Aptos Narrow"/>
            </a:endParaRPr>
          </a:p>
        </xdr:txBody>
      </xdr:sp>
      <xdr:sp macro="" textlink="Movimientos!F1">
        <xdr:nvSpPr>
          <xdr:cNvPr id="27" name="CaixaDeTexto 26">
            <a:extLst>
              <a:ext uri="{FF2B5EF4-FFF2-40B4-BE49-F238E27FC236}">
                <a16:creationId xmlns:a16="http://schemas.microsoft.com/office/drawing/2014/main" id="{56DD2B64-BBF9-4EBF-82D8-D23A16B6CA9E}"/>
              </a:ext>
            </a:extLst>
          </xdr:cNvPr>
          <xdr:cNvSpPr txBox="1"/>
        </xdr:nvSpPr>
        <xdr:spPr>
          <a:xfrm>
            <a:off x="9886950" y="2428876"/>
            <a:ext cx="211455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7CB750A-7525-4BB3-B97D-ABFFB7B71AE2}" type="TxLink">
              <a:rPr lang="en-US" sz="1600" b="1" i="0" u="none" strike="noStrike">
                <a:solidFill>
                  <a:srgbClr val="FF4343"/>
                </a:solidFill>
                <a:latin typeface="Aptos Narrow"/>
                <a:ea typeface="+mn-ea"/>
                <a:cs typeface="+mn-cs"/>
              </a:rPr>
              <a:pPr marL="0" indent="0" algn="ctr"/>
              <a:t>-</a:t>
            </a:fld>
            <a:endParaRPr lang="pt-BR" sz="1600" b="1" i="0" u="none" strike="noStrike">
              <a:solidFill>
                <a:srgbClr val="FF4343"/>
              </a:solidFill>
              <a:latin typeface="Aptos Narrow"/>
              <a:ea typeface="+mn-ea"/>
              <a:cs typeface="+mn-cs"/>
            </a:endParaRPr>
          </a:p>
        </xdr:txBody>
      </xdr:sp>
    </xdr:grpSp>
    <xdr:clientData fLocksWithSheet="0"/>
  </xdr:twoCellAnchor>
  <xdr:twoCellAnchor>
    <xdr:from>
      <xdr:col>14</xdr:col>
      <xdr:colOff>128587</xdr:colOff>
      <xdr:row>8</xdr:row>
      <xdr:rowOff>103135</xdr:rowOff>
    </xdr:from>
    <xdr:to>
      <xdr:col>17</xdr:col>
      <xdr:colOff>57150</xdr:colOff>
      <xdr:row>11</xdr:row>
      <xdr:rowOff>79290</xdr:rowOff>
    </xdr:to>
    <xdr:grpSp>
      <xdr:nvGrpSpPr>
        <xdr:cNvPr id="42" name="Group 41">
          <a:extLst>
            <a:ext uri="{FF2B5EF4-FFF2-40B4-BE49-F238E27FC236}">
              <a16:creationId xmlns:a16="http://schemas.microsoft.com/office/drawing/2014/main" id="{991328E2-5870-2EE7-F950-082A1B1F6545}"/>
            </a:ext>
          </a:extLst>
        </xdr:cNvPr>
        <xdr:cNvGrpSpPr/>
      </xdr:nvGrpSpPr>
      <xdr:grpSpPr>
        <a:xfrm>
          <a:off x="11006137" y="1608085"/>
          <a:ext cx="2157413" cy="509555"/>
          <a:chOff x="9867899" y="1371600"/>
          <a:chExt cx="2162176" cy="600074"/>
        </a:xfrm>
      </xdr:grpSpPr>
      <xdr:sp macro="" textlink="">
        <xdr:nvSpPr>
          <xdr:cNvPr id="15" name="Retângulo: Cantos Arredondados 14">
            <a:extLst>
              <a:ext uri="{FF2B5EF4-FFF2-40B4-BE49-F238E27FC236}">
                <a16:creationId xmlns:a16="http://schemas.microsoft.com/office/drawing/2014/main" id="{AB458649-D8DB-B599-DB8F-C0817A10FE24}"/>
              </a:ext>
            </a:extLst>
          </xdr:cNvPr>
          <xdr:cNvSpPr/>
        </xdr:nvSpPr>
        <xdr:spPr>
          <a:xfrm>
            <a:off x="9867899" y="1390648"/>
            <a:ext cx="2162176" cy="581026"/>
          </a:xfrm>
          <a:prstGeom prst="roundRect">
            <a:avLst>
              <a:gd name="adj" fmla="val 50000"/>
            </a:avLst>
          </a:prstGeom>
          <a:solidFill>
            <a:schemeClr val="dk1">
              <a:alpha val="85000"/>
            </a:schemeClr>
          </a:solidFill>
          <a:ln>
            <a:noFill/>
          </a:ln>
          <a:effectLst>
            <a:outerShdw blurRad="63500" sx="102000" sy="102000" algn="ctr"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p>
        </xdr:txBody>
      </xdr:sp>
      <xdr:sp macro="" textlink="">
        <xdr:nvSpPr>
          <xdr:cNvPr id="30" name="CaixaDeTexto 29">
            <a:extLst>
              <a:ext uri="{FF2B5EF4-FFF2-40B4-BE49-F238E27FC236}">
                <a16:creationId xmlns:a16="http://schemas.microsoft.com/office/drawing/2014/main" id="{F63002BD-AF2A-41B8-83CB-CC7EBBDFD901}"/>
              </a:ext>
            </a:extLst>
          </xdr:cNvPr>
          <xdr:cNvSpPr txBox="1"/>
        </xdr:nvSpPr>
        <xdr:spPr>
          <a:xfrm>
            <a:off x="9886537" y="1371600"/>
            <a:ext cx="2134013"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a:solidFill>
                  <a:schemeClr val="bg1"/>
                </a:solidFill>
              </a:rPr>
              <a:t>INGRESOS</a:t>
            </a:r>
            <a:endParaRPr lang="en-US" sz="1400" b="0" i="0" u="none" strike="noStrike">
              <a:solidFill>
                <a:schemeClr val="bg1"/>
              </a:solidFill>
              <a:latin typeface="Aptos Narrow"/>
            </a:endParaRPr>
          </a:p>
        </xdr:txBody>
      </xdr:sp>
      <xdr:sp macro="" textlink="Movimientos!E1">
        <xdr:nvSpPr>
          <xdr:cNvPr id="31" name="CaixaDeTexto 30">
            <a:extLst>
              <a:ext uri="{FF2B5EF4-FFF2-40B4-BE49-F238E27FC236}">
                <a16:creationId xmlns:a16="http://schemas.microsoft.com/office/drawing/2014/main" id="{4BF3661A-DE9A-4F13-B6FE-751627CEAF15}"/>
              </a:ext>
            </a:extLst>
          </xdr:cNvPr>
          <xdr:cNvSpPr txBox="1"/>
        </xdr:nvSpPr>
        <xdr:spPr>
          <a:xfrm>
            <a:off x="9896475" y="1676401"/>
            <a:ext cx="21240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61AE45A-94DA-4506-A6F1-7BC24CD573E5}" type="TxLink">
              <a:rPr lang="en-US" sz="1600" b="1" i="0" u="none" strike="noStrike">
                <a:solidFill>
                  <a:srgbClr val="05E7FF"/>
                </a:solidFill>
                <a:latin typeface="Aptos Narrow"/>
                <a:ea typeface="+mn-ea"/>
                <a:cs typeface="+mn-cs"/>
              </a:rPr>
              <a:pPr marL="0" indent="0" algn="ctr"/>
              <a:t>-</a:t>
            </a:fld>
            <a:endParaRPr lang="pt-BR" sz="1600" b="1" i="0" u="none" strike="noStrike">
              <a:solidFill>
                <a:srgbClr val="05E7FF"/>
              </a:solidFill>
              <a:latin typeface="Aptos Narrow"/>
              <a:ea typeface="+mn-ea"/>
              <a:cs typeface="+mn-cs"/>
            </a:endParaRPr>
          </a:p>
        </xdr:txBody>
      </xdr:sp>
    </xdr:grpSp>
    <xdr:clientData fLocksWithSheet="0"/>
  </xdr:twoCellAnchor>
  <xdr:twoCellAnchor editAs="oneCell">
    <xdr:from>
      <xdr:col>2</xdr:col>
      <xdr:colOff>2147395</xdr:colOff>
      <xdr:row>8</xdr:row>
      <xdr:rowOff>171449</xdr:rowOff>
    </xdr:from>
    <xdr:to>
      <xdr:col>4</xdr:col>
      <xdr:colOff>747220</xdr:colOff>
      <xdr:row>11</xdr:row>
      <xdr:rowOff>19049</xdr:rowOff>
    </xdr:to>
    <xdr:sp macro="[0]!Macro4" textlink="">
      <xdr:nvSpPr>
        <xdr:cNvPr id="32" name="Retângulo: Cantos Arredondados 31">
          <a:extLst>
            <a:ext uri="{FF2B5EF4-FFF2-40B4-BE49-F238E27FC236}">
              <a16:creationId xmlns:a16="http://schemas.microsoft.com/office/drawing/2014/main" id="{21478E4F-143F-4EFE-88D8-9198A064B420}"/>
            </a:ext>
          </a:extLst>
        </xdr:cNvPr>
        <xdr:cNvSpPr/>
      </xdr:nvSpPr>
      <xdr:spPr>
        <a:xfrm>
          <a:off x="3152447" y="1761139"/>
          <a:ext cx="1424480" cy="419100"/>
        </a:xfrm>
        <a:prstGeom prst="roundRect">
          <a:avLst/>
        </a:prstGeom>
        <a:gradFill flip="none" rotWithShape="1">
          <a:gsLst>
            <a:gs pos="0">
              <a:srgbClr val="FF0000"/>
            </a:gs>
            <a:gs pos="96000">
              <a:srgbClr val="C00000"/>
            </a:gs>
          </a:gsLst>
          <a:lin ang="2700000" scaled="1"/>
          <a:tileRect/>
        </a:gradFill>
        <a:ln>
          <a:noFill/>
        </a:ln>
        <a:scene3d>
          <a:camera prst="orthographicFront"/>
          <a:lightRig rig="threePt" dir="t"/>
        </a:scene3d>
        <a:sp3d>
          <a:bevel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0"/>
            <a:t>      </a:t>
          </a:r>
          <a:r>
            <a:rPr lang="pt-BR" sz="1200" b="1"/>
            <a:t>BORRAR</a:t>
          </a:r>
          <a:endParaRPr lang="pt-BR" sz="1400" b="1"/>
        </a:p>
      </xdr:txBody>
    </xdr:sp>
    <xdr:clientData fLocksWithSheet="0"/>
  </xdr:twoCellAnchor>
  <xdr:twoCellAnchor editAs="oneCell">
    <xdr:from>
      <xdr:col>3</xdr:col>
      <xdr:colOff>115286</xdr:colOff>
      <xdr:row>9</xdr:row>
      <xdr:rowOff>47625</xdr:rowOff>
    </xdr:from>
    <xdr:to>
      <xdr:col>3</xdr:col>
      <xdr:colOff>413845</xdr:colOff>
      <xdr:row>10</xdr:row>
      <xdr:rowOff>152400</xdr:rowOff>
    </xdr:to>
    <xdr:pic>
      <xdr:nvPicPr>
        <xdr:cNvPr id="35" name="Gráfico 34" descr="Borracha com preenchimento sólido">
          <a:extLst>
            <a:ext uri="{FF2B5EF4-FFF2-40B4-BE49-F238E27FC236}">
              <a16:creationId xmlns:a16="http://schemas.microsoft.com/office/drawing/2014/main" id="{9198E3C7-A26D-320B-C70D-92CDA89C234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xmlns="" r:embed="rId6"/>
            </a:ext>
          </a:extLst>
        </a:blip>
        <a:stretch>
          <a:fillRect/>
        </a:stretch>
      </xdr:blipFill>
      <xdr:spPr>
        <a:xfrm>
          <a:off x="3314372" y="1827815"/>
          <a:ext cx="298559" cy="295275"/>
        </a:xfrm>
        <a:prstGeom prst="rect">
          <a:avLst/>
        </a:prstGeom>
      </xdr:spPr>
    </xdr:pic>
    <xdr:clientData fLocksWithSheet="0"/>
  </xdr:twoCellAnchor>
  <xdr:twoCellAnchor editAs="oneCell">
    <xdr:from>
      <xdr:col>4</xdr:col>
      <xdr:colOff>1317078</xdr:colOff>
      <xdr:row>8</xdr:row>
      <xdr:rowOff>69631</xdr:rowOff>
    </xdr:from>
    <xdr:to>
      <xdr:col>5</xdr:col>
      <xdr:colOff>900277</xdr:colOff>
      <xdr:row>10</xdr:row>
      <xdr:rowOff>1874</xdr:rowOff>
    </xdr:to>
    <xdr:grpSp>
      <xdr:nvGrpSpPr>
        <xdr:cNvPr id="38" name="Agrupar 37">
          <a:hlinkClick xmlns:r="http://schemas.openxmlformats.org/officeDocument/2006/relationships" r:id="rId7"/>
          <a:extLst>
            <a:ext uri="{FF2B5EF4-FFF2-40B4-BE49-F238E27FC236}">
              <a16:creationId xmlns:a16="http://schemas.microsoft.com/office/drawing/2014/main" id="{64EE086D-5E2A-83DB-2FA5-E5447F7A150F}"/>
            </a:ext>
          </a:extLst>
        </xdr:cNvPr>
        <xdr:cNvGrpSpPr/>
      </xdr:nvGrpSpPr>
      <xdr:grpSpPr>
        <a:xfrm>
          <a:off x="5692228" y="1574581"/>
          <a:ext cx="1367549" cy="287843"/>
          <a:chOff x="4162425" y="1771651"/>
          <a:chExt cx="1104900" cy="276224"/>
        </a:xfrm>
      </xdr:grpSpPr>
      <xdr:sp macro="" textlink="">
        <xdr:nvSpPr>
          <xdr:cNvPr id="33" name="Retângulo: Cantos Arredondados 32">
            <a:extLst>
              <a:ext uri="{FF2B5EF4-FFF2-40B4-BE49-F238E27FC236}">
                <a16:creationId xmlns:a16="http://schemas.microsoft.com/office/drawing/2014/main" id="{0B254A6E-812B-4DCD-BA6A-8FBCED577080}"/>
              </a:ext>
            </a:extLst>
          </xdr:cNvPr>
          <xdr:cNvSpPr/>
        </xdr:nvSpPr>
        <xdr:spPr>
          <a:xfrm>
            <a:off x="4162425" y="1771651"/>
            <a:ext cx="1009650" cy="276224"/>
          </a:xfrm>
          <a:prstGeom prst="roundRect">
            <a:avLst>
              <a:gd name="adj" fmla="val 50000"/>
            </a:avLst>
          </a:prstGeom>
          <a:solidFill>
            <a:schemeClr val="dk1">
              <a:alpha val="85000"/>
            </a:schemeClr>
          </a:solidFill>
          <a:ln>
            <a:noFill/>
          </a:ln>
          <a:effectLst>
            <a:outerShdw blurRad="63500" sx="102000" sy="102000" algn="ctr"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p>
        </xdr:txBody>
      </xdr:sp>
      <xdr:pic>
        <xdr:nvPicPr>
          <xdr:cNvPr id="23" name="Gráfico 22" descr="Lista com preenchimento sólido">
            <a:extLst>
              <a:ext uri="{FF2B5EF4-FFF2-40B4-BE49-F238E27FC236}">
                <a16:creationId xmlns:a16="http://schemas.microsoft.com/office/drawing/2014/main" id="{B8E40847-01AF-16A0-1C93-1E746FF14F5B}"/>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xmlns="" r:embed="rId9"/>
              </a:ext>
            </a:extLst>
          </a:blip>
          <a:stretch>
            <a:fillRect/>
          </a:stretch>
        </xdr:blipFill>
        <xdr:spPr>
          <a:xfrm>
            <a:off x="4238626" y="1809751"/>
            <a:ext cx="190499" cy="190499"/>
          </a:xfrm>
          <a:prstGeom prst="rect">
            <a:avLst/>
          </a:prstGeom>
        </xdr:spPr>
      </xdr:pic>
      <xdr:sp macro="" textlink="">
        <xdr:nvSpPr>
          <xdr:cNvPr id="34" name="CaixaDeTexto 33">
            <a:extLst>
              <a:ext uri="{FF2B5EF4-FFF2-40B4-BE49-F238E27FC236}">
                <a16:creationId xmlns:a16="http://schemas.microsoft.com/office/drawing/2014/main" id="{83A5104D-D1A2-445C-9D29-D4705FAA4683}"/>
              </a:ext>
            </a:extLst>
          </xdr:cNvPr>
          <xdr:cNvSpPr txBox="1"/>
        </xdr:nvSpPr>
        <xdr:spPr>
          <a:xfrm>
            <a:off x="4343400" y="1790699"/>
            <a:ext cx="92392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50">
                <a:solidFill>
                  <a:schemeClr val="bg1"/>
                </a:solidFill>
              </a:rPr>
              <a:t>CATEGORÍAS</a:t>
            </a:r>
            <a:endParaRPr lang="en-US" sz="1050" b="0" i="0" u="none" strike="noStrike">
              <a:ln w="9525">
                <a:noFill/>
              </a:ln>
              <a:solidFill>
                <a:schemeClr val="bg1"/>
              </a:solidFill>
              <a:latin typeface="Aptos Narrow"/>
            </a:endParaRPr>
          </a:p>
        </xdr:txBody>
      </xdr:sp>
    </xdr:grpSp>
    <xdr:clientData fLocksWithSheet="0"/>
  </xdr:twoCellAnchor>
  <xdr:twoCellAnchor editAs="oneCell">
    <xdr:from>
      <xdr:col>1</xdr:col>
      <xdr:colOff>180976</xdr:colOff>
      <xdr:row>8</xdr:row>
      <xdr:rowOff>123826</xdr:rowOff>
    </xdr:from>
    <xdr:to>
      <xdr:col>1</xdr:col>
      <xdr:colOff>704850</xdr:colOff>
      <xdr:row>11</xdr:row>
      <xdr:rowOff>66675</xdr:rowOff>
    </xdr:to>
    <xdr:grpSp>
      <xdr:nvGrpSpPr>
        <xdr:cNvPr id="37" name="Agrupar 36">
          <a:hlinkClick xmlns:r="http://schemas.openxmlformats.org/officeDocument/2006/relationships" r:id="rId10"/>
          <a:extLst>
            <a:ext uri="{FF2B5EF4-FFF2-40B4-BE49-F238E27FC236}">
              <a16:creationId xmlns:a16="http://schemas.microsoft.com/office/drawing/2014/main" id="{B117DBDB-81A7-2D85-4A53-EB3C848837E1}"/>
            </a:ext>
          </a:extLst>
        </xdr:cNvPr>
        <xdr:cNvGrpSpPr/>
      </xdr:nvGrpSpPr>
      <xdr:grpSpPr>
        <a:xfrm>
          <a:off x="333376" y="1628776"/>
          <a:ext cx="523874" cy="476249"/>
          <a:chOff x="314326" y="1638301"/>
          <a:chExt cx="523874" cy="514349"/>
        </a:xfrm>
      </xdr:grpSpPr>
      <xdr:sp macro="" textlink="">
        <xdr:nvSpPr>
          <xdr:cNvPr id="20" name="Retângulo: Cantos Arredondados 19">
            <a:extLst>
              <a:ext uri="{FF2B5EF4-FFF2-40B4-BE49-F238E27FC236}">
                <a16:creationId xmlns:a16="http://schemas.microsoft.com/office/drawing/2014/main" id="{729D17CD-B0B6-4CA6-8406-A061B5E732A7}"/>
              </a:ext>
            </a:extLst>
          </xdr:cNvPr>
          <xdr:cNvSpPr/>
        </xdr:nvSpPr>
        <xdr:spPr>
          <a:xfrm>
            <a:off x="314326" y="1638301"/>
            <a:ext cx="523874" cy="514349"/>
          </a:xfrm>
          <a:prstGeom prst="roundRect">
            <a:avLst>
              <a:gd name="adj" fmla="val 50000"/>
            </a:avLst>
          </a:prstGeom>
          <a:solidFill>
            <a:schemeClr val="dk1">
              <a:alpha val="85000"/>
            </a:schemeClr>
          </a:solidFill>
          <a:ln>
            <a:noFill/>
          </a:ln>
          <a:effectLst>
            <a:outerShdw blurRad="63500" sx="102000" sy="102000" algn="ctr"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p>
        </xdr:txBody>
      </xdr:sp>
      <xdr:pic>
        <xdr:nvPicPr>
          <xdr:cNvPr id="14" name="Gráfico 13" descr="Início com preenchimento sólido">
            <a:extLst>
              <a:ext uri="{FF2B5EF4-FFF2-40B4-BE49-F238E27FC236}">
                <a16:creationId xmlns:a16="http://schemas.microsoft.com/office/drawing/2014/main" id="{8188ECF6-54F0-7CBB-1C6E-2395F7B6D321}"/>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xmlns="" r:embed="rId12"/>
              </a:ext>
            </a:extLst>
          </a:blip>
          <a:stretch>
            <a:fillRect/>
          </a:stretch>
        </xdr:blipFill>
        <xdr:spPr>
          <a:xfrm>
            <a:off x="419101" y="1724026"/>
            <a:ext cx="304800" cy="304800"/>
          </a:xfrm>
          <a:prstGeom prst="rect">
            <a:avLst/>
          </a:prstGeom>
        </xdr:spPr>
      </xdr:pic>
    </xdr:grpSp>
    <xdr:clientData fLocksWithSheet="0"/>
  </xdr:twoCellAnchor>
  <xdr:twoCellAnchor editAs="oneCell">
    <xdr:from>
      <xdr:col>1</xdr:col>
      <xdr:colOff>0</xdr:colOff>
      <xdr:row>5</xdr:row>
      <xdr:rowOff>152400</xdr:rowOff>
    </xdr:from>
    <xdr:to>
      <xdr:col>1</xdr:col>
      <xdr:colOff>238125</xdr:colOff>
      <xdr:row>7</xdr:row>
      <xdr:rowOff>9525</xdr:rowOff>
    </xdr:to>
    <xdr:pic macro="[0]!Macro5">
      <xdr:nvPicPr>
        <xdr:cNvPr id="40" name="Gráfico 39" descr="Calendário diário com preenchimento sólido">
          <a:extLst>
            <a:ext uri="{FF2B5EF4-FFF2-40B4-BE49-F238E27FC236}">
              <a16:creationId xmlns:a16="http://schemas.microsoft.com/office/drawing/2014/main" id="{498DE952-599D-2CCD-EF18-7848EB74FB3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xmlns="" r:embed="rId14"/>
            </a:ext>
          </a:extLst>
        </a:blip>
        <a:stretch>
          <a:fillRect/>
        </a:stretch>
      </xdr:blipFill>
      <xdr:spPr>
        <a:xfrm>
          <a:off x="133350" y="1028700"/>
          <a:ext cx="238125" cy="238125"/>
        </a:xfrm>
        <a:prstGeom prst="rect">
          <a:avLst/>
        </a:prstGeom>
      </xdr:spPr>
    </xdr:pic>
    <xdr:clientData/>
  </xdr:twoCellAnchor>
  <xdr:twoCellAnchor editAs="oneCell">
    <xdr:from>
      <xdr:col>5</xdr:col>
      <xdr:colOff>114300</xdr:colOff>
      <xdr:row>10</xdr:row>
      <xdr:rowOff>9525</xdr:rowOff>
    </xdr:from>
    <xdr:to>
      <xdr:col>5</xdr:col>
      <xdr:colOff>457200</xdr:colOff>
      <xdr:row>11</xdr:row>
      <xdr:rowOff>133350</xdr:rowOff>
    </xdr:to>
    <xdr:pic macro="[0]!Macro2">
      <xdr:nvPicPr>
        <xdr:cNvPr id="41" name="Gráfico 40" descr="Repetir com preenchimento sólido">
          <a:extLst>
            <a:ext uri="{FF2B5EF4-FFF2-40B4-BE49-F238E27FC236}">
              <a16:creationId xmlns:a16="http://schemas.microsoft.com/office/drawing/2014/main" id="{A3C93A3D-FF09-4A8F-8002-0A90FCB676D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xmlns="" r:embed="rId16"/>
            </a:ext>
          </a:extLst>
        </a:blip>
        <a:stretch>
          <a:fillRect/>
        </a:stretch>
      </xdr:blipFill>
      <xdr:spPr>
        <a:xfrm>
          <a:off x="4457700" y="1905000"/>
          <a:ext cx="342900" cy="314325"/>
        </a:xfrm>
        <a:prstGeom prst="rect">
          <a:avLst/>
        </a:prstGeom>
      </xdr:spPr>
    </xdr:pic>
    <xdr:clientData fLocksWithSheet="0"/>
  </xdr:twoCellAnchor>
  <xdr:twoCellAnchor>
    <xdr:from>
      <xdr:col>1</xdr:col>
      <xdr:colOff>38100</xdr:colOff>
      <xdr:row>1</xdr:row>
      <xdr:rowOff>47625</xdr:rowOff>
    </xdr:from>
    <xdr:to>
      <xdr:col>5</xdr:col>
      <xdr:colOff>838200</xdr:colOff>
      <xdr:row>5</xdr:row>
      <xdr:rowOff>142876</xdr:rowOff>
    </xdr:to>
    <xdr:grpSp>
      <xdr:nvGrpSpPr>
        <xdr:cNvPr id="44" name="Group 43">
          <a:extLst>
            <a:ext uri="{FF2B5EF4-FFF2-40B4-BE49-F238E27FC236}">
              <a16:creationId xmlns:a16="http://schemas.microsoft.com/office/drawing/2014/main" id="{F2222B5C-1836-A213-6B30-8CDFB46BC40B}"/>
            </a:ext>
          </a:extLst>
        </xdr:cNvPr>
        <xdr:cNvGrpSpPr/>
      </xdr:nvGrpSpPr>
      <xdr:grpSpPr>
        <a:xfrm>
          <a:off x="190500" y="231775"/>
          <a:ext cx="6807200" cy="806451"/>
          <a:chOff x="171450" y="238125"/>
          <a:chExt cx="5619750" cy="857251"/>
        </a:xfrm>
      </xdr:grpSpPr>
      <xdr:sp macro="" textlink="">
        <xdr:nvSpPr>
          <xdr:cNvPr id="2" name="Retângulo: Cantos Arredondados 1">
            <a:extLst>
              <a:ext uri="{FF2B5EF4-FFF2-40B4-BE49-F238E27FC236}">
                <a16:creationId xmlns:a16="http://schemas.microsoft.com/office/drawing/2014/main" id="{D436E57C-84A1-454A-9FDD-AE542A3A5535}"/>
              </a:ext>
            </a:extLst>
          </xdr:cNvPr>
          <xdr:cNvSpPr/>
        </xdr:nvSpPr>
        <xdr:spPr>
          <a:xfrm>
            <a:off x="171450" y="238126"/>
            <a:ext cx="5619750" cy="857250"/>
          </a:xfrm>
          <a:prstGeom prst="roundRect">
            <a:avLst/>
          </a:prstGeom>
          <a:solidFill>
            <a:schemeClr val="dk1">
              <a:alpha val="85000"/>
            </a:schemeClr>
          </a:solidFill>
          <a:ln>
            <a:noFill/>
          </a:ln>
          <a:effectLst>
            <a:outerShdw blurRad="63500" sx="102000" sy="102000" algn="ctr"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p>
        </xdr:txBody>
      </xdr:sp>
      <xdr:sp macro="" textlink="">
        <xdr:nvSpPr>
          <xdr:cNvPr id="16" name="Retângulo: Cantos Arredondados 15">
            <a:extLst>
              <a:ext uri="{FF2B5EF4-FFF2-40B4-BE49-F238E27FC236}">
                <a16:creationId xmlns:a16="http://schemas.microsoft.com/office/drawing/2014/main" id="{19D6F453-1EEE-44FE-A9F3-718C6E320C13}"/>
              </a:ext>
            </a:extLst>
          </xdr:cNvPr>
          <xdr:cNvSpPr/>
        </xdr:nvSpPr>
        <xdr:spPr>
          <a:xfrm>
            <a:off x="235803" y="295275"/>
            <a:ext cx="659547" cy="740975"/>
          </a:xfrm>
          <a:prstGeom prst="roundRect">
            <a:avLst>
              <a:gd name="adj" fmla="val 14887"/>
            </a:avLst>
          </a:prstGeom>
          <a:gradFill>
            <a:gsLst>
              <a:gs pos="0">
                <a:schemeClr val="bg1"/>
              </a:gs>
              <a:gs pos="100000">
                <a:schemeClr val="bg2">
                  <a:lumMod val="9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11" name="Gráfico 10" descr="Calculadora com preenchimento sólido">
            <a:extLst>
              <a:ext uri="{FF2B5EF4-FFF2-40B4-BE49-F238E27FC236}">
                <a16:creationId xmlns:a16="http://schemas.microsoft.com/office/drawing/2014/main" id="{A6A4876B-C8D5-B25D-F013-C7438445F6F6}"/>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xmlns="" r:embed="rId18"/>
              </a:ext>
            </a:extLst>
          </a:blip>
          <a:stretch>
            <a:fillRect/>
          </a:stretch>
        </xdr:blipFill>
        <xdr:spPr>
          <a:xfrm>
            <a:off x="207151" y="302401"/>
            <a:ext cx="716774" cy="716774"/>
          </a:xfrm>
          <a:prstGeom prst="rect">
            <a:avLst/>
          </a:prstGeom>
        </xdr:spPr>
      </xdr:pic>
      <xdr:sp macro="" textlink="">
        <xdr:nvSpPr>
          <xdr:cNvPr id="10" name="CaixaDeTexto 9">
            <a:extLst>
              <a:ext uri="{FF2B5EF4-FFF2-40B4-BE49-F238E27FC236}">
                <a16:creationId xmlns:a16="http://schemas.microsoft.com/office/drawing/2014/main" id="{7B8296AA-66C1-4F6C-9F3E-5613E82645FE}"/>
              </a:ext>
            </a:extLst>
          </xdr:cNvPr>
          <xdr:cNvSpPr txBox="1"/>
        </xdr:nvSpPr>
        <xdr:spPr>
          <a:xfrm>
            <a:off x="895350" y="238125"/>
            <a:ext cx="3943350"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3200" b="1">
                <a:solidFill>
                  <a:schemeClr val="bg1"/>
                </a:solidFill>
              </a:rPr>
              <a:t>Control de Finanzas</a:t>
            </a:r>
            <a:endParaRPr lang="en-US" sz="3200" b="1" i="0" u="none" strike="noStrike">
              <a:ln w="9525">
                <a:solidFill>
                  <a:schemeClr val="tx1"/>
                </a:solidFill>
              </a:ln>
              <a:solidFill>
                <a:schemeClr val="bg1"/>
              </a:solidFill>
              <a:latin typeface="Aptos Narrow"/>
            </a:endParaRPr>
          </a:p>
        </xdr:txBody>
      </xdr:sp>
      <xdr:grpSp>
        <xdr:nvGrpSpPr>
          <xdr:cNvPr id="39" name="Group 38">
            <a:extLst>
              <a:ext uri="{FF2B5EF4-FFF2-40B4-BE49-F238E27FC236}">
                <a16:creationId xmlns:a16="http://schemas.microsoft.com/office/drawing/2014/main" id="{8A544FDA-059E-1239-4454-AEF200BD26B8}"/>
              </a:ext>
            </a:extLst>
          </xdr:cNvPr>
          <xdr:cNvGrpSpPr/>
        </xdr:nvGrpSpPr>
        <xdr:grpSpPr>
          <a:xfrm>
            <a:off x="4845903" y="285750"/>
            <a:ext cx="885825" cy="755131"/>
            <a:chOff x="4264878" y="285750"/>
            <a:chExt cx="1066800" cy="755131"/>
          </a:xfrm>
        </xdr:grpSpPr>
        <xdr:sp macro="" textlink="">
          <xdr:nvSpPr>
            <xdr:cNvPr id="7" name="Retângulo: Cantos Arredondados 6">
              <a:extLst>
                <a:ext uri="{FF2B5EF4-FFF2-40B4-BE49-F238E27FC236}">
                  <a16:creationId xmlns:a16="http://schemas.microsoft.com/office/drawing/2014/main" id="{96237161-3418-4898-B388-4E94C29A2F79}"/>
                </a:ext>
              </a:extLst>
            </xdr:cNvPr>
            <xdr:cNvSpPr/>
          </xdr:nvSpPr>
          <xdr:spPr>
            <a:xfrm>
              <a:off x="4264878" y="295275"/>
              <a:ext cx="1066800" cy="740975"/>
            </a:xfrm>
            <a:prstGeom prst="roundRect">
              <a:avLst>
                <a:gd name="adj" fmla="val 14887"/>
              </a:avLst>
            </a:prstGeom>
            <a:gradFill>
              <a:gsLst>
                <a:gs pos="0">
                  <a:schemeClr val="bg1"/>
                </a:gs>
                <a:gs pos="100000">
                  <a:schemeClr val="bg2">
                    <a:lumMod val="9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5" name="Imagem 4">
              <a:extLst>
                <a:ext uri="{FF2B5EF4-FFF2-40B4-BE49-F238E27FC236}">
                  <a16:creationId xmlns:a16="http://schemas.microsoft.com/office/drawing/2014/main" id="{E22C96C8-69D9-4D43-8690-28ED2C5238A2}"/>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t="3542" b="3542"/>
            <a:stretch/>
          </xdr:blipFill>
          <xdr:spPr>
            <a:xfrm>
              <a:off x="4362450" y="285750"/>
              <a:ext cx="923925" cy="755131"/>
            </a:xfrm>
            <a:prstGeom prst="rect">
              <a:avLst/>
            </a:prstGeom>
          </xdr:spPr>
        </xdr:pic>
      </xdr:grpSp>
    </xdr:grpSp>
    <xdr:clientData/>
  </xdr:twoCellAnchor>
  <xdr:twoCellAnchor editAs="oneCell">
    <xdr:from>
      <xdr:col>9</xdr:col>
      <xdr:colOff>53788</xdr:colOff>
      <xdr:row>4</xdr:row>
      <xdr:rowOff>30112</xdr:rowOff>
    </xdr:from>
    <xdr:to>
      <xdr:col>10</xdr:col>
      <xdr:colOff>196662</xdr:colOff>
      <xdr:row>5</xdr:row>
      <xdr:rowOff>134888</xdr:rowOff>
    </xdr:to>
    <xdr:sp macro="[0]!Macro12" textlink="">
      <xdr:nvSpPr>
        <xdr:cNvPr id="48" name="Retângulo: Cantos Arredondados 2">
          <a:extLst>
            <a:ext uri="{FF2B5EF4-FFF2-40B4-BE49-F238E27FC236}">
              <a16:creationId xmlns:a16="http://schemas.microsoft.com/office/drawing/2014/main" id="{77015461-FCB7-44E2-BCEB-AC2023C27CB7}"/>
            </a:ext>
          </a:extLst>
        </xdr:cNvPr>
        <xdr:cNvSpPr/>
      </xdr:nvSpPr>
      <xdr:spPr>
        <a:xfrm>
          <a:off x="8382210" y="792112"/>
          <a:ext cx="285749" cy="295276"/>
        </a:xfrm>
        <a:prstGeom prst="roundRect">
          <a:avLst/>
        </a:prstGeom>
        <a:gradFill flip="none" rotWithShape="1">
          <a:gsLst>
            <a:gs pos="0">
              <a:srgbClr val="1B7325"/>
            </a:gs>
            <a:gs pos="100000">
              <a:schemeClr val="accent3">
                <a:lumMod val="50000"/>
              </a:schemeClr>
            </a:gs>
          </a:gsLst>
          <a:lin ang="2700000" scaled="1"/>
          <a:tileRect/>
        </a:gradFill>
        <a:ln>
          <a:noFill/>
        </a:ln>
        <a:scene3d>
          <a:camera prst="orthographicFront"/>
          <a:lightRig rig="threePt" dir="t"/>
        </a:scene3d>
        <a:sp3d>
          <a:bevel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&lt;</a:t>
          </a:r>
        </a:p>
      </xdr:txBody>
    </xdr:sp>
    <xdr:clientData fLocksWithSheet="0"/>
  </xdr:twoCellAnchor>
  <xdr:twoCellAnchor editAs="oneCell">
    <xdr:from>
      <xdr:col>9</xdr:col>
      <xdr:colOff>53788</xdr:colOff>
      <xdr:row>2</xdr:row>
      <xdr:rowOff>27595</xdr:rowOff>
    </xdr:from>
    <xdr:to>
      <xdr:col>10</xdr:col>
      <xdr:colOff>196662</xdr:colOff>
      <xdr:row>3</xdr:row>
      <xdr:rowOff>132371</xdr:rowOff>
    </xdr:to>
    <xdr:sp macro="[0]!Macro13" textlink="">
      <xdr:nvSpPr>
        <xdr:cNvPr id="49" name="Retângulo: Cantos Arredondados 2">
          <a:extLst>
            <a:ext uri="{FF2B5EF4-FFF2-40B4-BE49-F238E27FC236}">
              <a16:creationId xmlns:a16="http://schemas.microsoft.com/office/drawing/2014/main" id="{82C5769B-993A-4196-9586-6341846F2FC4}"/>
            </a:ext>
          </a:extLst>
        </xdr:cNvPr>
        <xdr:cNvSpPr/>
      </xdr:nvSpPr>
      <xdr:spPr>
        <a:xfrm>
          <a:off x="8382210" y="408595"/>
          <a:ext cx="285749" cy="295276"/>
        </a:xfrm>
        <a:prstGeom prst="roundRect">
          <a:avLst/>
        </a:prstGeom>
        <a:gradFill flip="none" rotWithShape="1">
          <a:gsLst>
            <a:gs pos="0">
              <a:srgbClr val="1B7325"/>
            </a:gs>
            <a:gs pos="100000">
              <a:schemeClr val="accent3">
                <a:lumMod val="50000"/>
              </a:schemeClr>
            </a:gs>
          </a:gsLst>
          <a:lin ang="2700000" scaled="1"/>
          <a:tileRect/>
        </a:gradFill>
        <a:ln>
          <a:noFill/>
        </a:ln>
        <a:scene3d>
          <a:camera prst="orthographicFront"/>
          <a:lightRig rig="threePt" dir="t"/>
        </a:scene3d>
        <a:sp3d>
          <a:bevelT/>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&gt;</a:t>
          </a:r>
        </a:p>
      </xdr:txBody>
    </xdr:sp>
    <xdr:clientData fLocksWithSheet="0"/>
  </xdr:twoCellAnchor>
  <xdr:twoCellAnchor editAs="oneCell">
    <xdr:from>
      <xdr:col>18</xdr:col>
      <xdr:colOff>174248</xdr:colOff>
      <xdr:row>10</xdr:row>
      <xdr:rowOff>81731</xdr:rowOff>
    </xdr:from>
    <xdr:to>
      <xdr:col>20</xdr:col>
      <xdr:colOff>46993</xdr:colOff>
      <xdr:row>15</xdr:row>
      <xdr:rowOff>171290</xdr:rowOff>
    </xdr:to>
    <xdr:pic>
      <xdr:nvPicPr>
        <xdr:cNvPr id="53" name="Graphic 52" descr="Flowchart with solid fill">
          <a:extLst>
            <a:ext uri="{FF2B5EF4-FFF2-40B4-BE49-F238E27FC236}">
              <a16:creationId xmlns:a16="http://schemas.microsoft.com/office/drawing/2014/main" id="{9399940C-2AA4-4637-A15B-468752A477A2}"/>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xmlns="" r:embed="rId21"/>
            </a:ext>
          </a:extLst>
        </a:blip>
        <a:stretch>
          <a:fillRect/>
        </a:stretch>
      </xdr:blipFill>
      <xdr:spPr>
        <a:xfrm>
          <a:off x="11471257" y="2055023"/>
          <a:ext cx="1166707" cy="1042059"/>
        </a:xfrm>
        <a:prstGeom prst="rect">
          <a:avLst/>
        </a:prstGeom>
      </xdr:spPr>
    </xdr:pic>
    <xdr:clientData/>
  </xdr:twoCellAnchor>
  <xdr:twoCellAnchor editAs="oneCell">
    <xdr:from>
      <xdr:col>18</xdr:col>
      <xdr:colOff>107580</xdr:colOff>
      <xdr:row>12</xdr:row>
      <xdr:rowOff>40799</xdr:rowOff>
    </xdr:from>
    <xdr:to>
      <xdr:col>20</xdr:col>
      <xdr:colOff>116896</xdr:colOff>
      <xdr:row>13</xdr:row>
      <xdr:rowOff>95851</xdr:rowOff>
    </xdr:to>
    <xdr:sp macro="" textlink="">
      <xdr:nvSpPr>
        <xdr:cNvPr id="54" name="CaixaDeTexto 27">
          <a:extLst>
            <a:ext uri="{FF2B5EF4-FFF2-40B4-BE49-F238E27FC236}">
              <a16:creationId xmlns:a16="http://schemas.microsoft.com/office/drawing/2014/main" id="{D66AA6F0-E5DA-4A6C-83F7-993C99BB9F62}"/>
            </a:ext>
          </a:extLst>
        </xdr:cNvPr>
        <xdr:cNvSpPr txBox="1"/>
      </xdr:nvSpPr>
      <xdr:spPr>
        <a:xfrm>
          <a:off x="11416353" y="2391742"/>
          <a:ext cx="1308178" cy="245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200" b="1">
              <a:solidFill>
                <a:schemeClr val="bg1"/>
              </a:solidFill>
            </a:rPr>
            <a:t>POR CATEGORÍA</a:t>
          </a:r>
          <a:endParaRPr lang="en-US" sz="1200" b="1" i="0" u="none" strike="noStrike">
            <a:solidFill>
              <a:schemeClr val="bg1"/>
            </a:solidFill>
            <a:latin typeface="Aptos Narrow"/>
          </a:endParaRPr>
        </a:p>
      </xdr:txBody>
    </xdr:sp>
    <xdr:clientData fLocksWithSheet="0"/>
  </xdr:twoCellAnchor>
  <xdr:twoCellAnchor editAs="oneCell">
    <xdr:from>
      <xdr:col>15</xdr:col>
      <xdr:colOff>221972</xdr:colOff>
      <xdr:row>1</xdr:row>
      <xdr:rowOff>85726</xdr:rowOff>
    </xdr:from>
    <xdr:to>
      <xdr:col>15</xdr:col>
      <xdr:colOff>563215</xdr:colOff>
      <xdr:row>3</xdr:row>
      <xdr:rowOff>19051</xdr:rowOff>
    </xdr:to>
    <xdr:pic macro="[0]!Macro2">
      <xdr:nvPicPr>
        <xdr:cNvPr id="13" name="Gráfico 12" descr="Repetir com preenchimento sólido">
          <a:extLst>
            <a:ext uri="{FF2B5EF4-FFF2-40B4-BE49-F238E27FC236}">
              <a16:creationId xmlns:a16="http://schemas.microsoft.com/office/drawing/2014/main" id="{76224AC4-423F-8C44-63B3-1528B9DA4CCC}"/>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xmlns="" r:embed="rId23"/>
            </a:ext>
          </a:extLst>
        </a:blip>
        <a:stretch>
          <a:fillRect/>
        </a:stretch>
      </xdr:blipFill>
      <xdr:spPr>
        <a:xfrm>
          <a:off x="11941863" y="276226"/>
          <a:ext cx="341243" cy="314325"/>
        </a:xfrm>
        <a:prstGeom prst="rect">
          <a:avLst/>
        </a:prstGeom>
      </xdr:spPr>
    </xdr:pic>
    <xdr:clientData fLocksWithSheet="0"/>
  </xdr:twoCellAnchor>
  <xdr:twoCellAnchor editAs="oneCell">
    <xdr:from>
      <xdr:col>1</xdr:col>
      <xdr:colOff>0</xdr:colOff>
      <xdr:row>5</xdr:row>
      <xdr:rowOff>152400</xdr:rowOff>
    </xdr:from>
    <xdr:to>
      <xdr:col>1</xdr:col>
      <xdr:colOff>238125</xdr:colOff>
      <xdr:row>7</xdr:row>
      <xdr:rowOff>9525</xdr:rowOff>
    </xdr:to>
    <xdr:pic macro="[0]!Macro5">
      <xdr:nvPicPr>
        <xdr:cNvPr id="47" name="Gráfico 39" descr="Calendário diário com preenchimento sólido">
          <a:extLst>
            <a:ext uri="{FF2B5EF4-FFF2-40B4-BE49-F238E27FC236}">
              <a16:creationId xmlns:a16="http://schemas.microsoft.com/office/drawing/2014/main" id="{5382F2BD-0E71-4DD8-A1C8-F2D6521A32D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xmlns="" r:embed="rId14"/>
            </a:ext>
          </a:extLst>
        </a:blip>
        <a:stretch>
          <a:fillRect/>
        </a:stretch>
      </xdr:blipFill>
      <xdr:spPr>
        <a:xfrm>
          <a:off x="133350" y="1104900"/>
          <a:ext cx="238125" cy="238125"/>
        </a:xfrm>
        <a:prstGeom prst="rect">
          <a:avLst/>
        </a:prstGeom>
      </xdr:spPr>
    </xdr:pic>
    <xdr:clientData/>
  </xdr:twoCellAnchor>
  <xdr:twoCellAnchor>
    <xdr:from>
      <xdr:col>6</xdr:col>
      <xdr:colOff>104775</xdr:colOff>
      <xdr:row>1</xdr:row>
      <xdr:rowOff>19050</xdr:rowOff>
    </xdr:from>
    <xdr:to>
      <xdr:col>8</xdr:col>
      <xdr:colOff>1104900</xdr:colOff>
      <xdr:row>5</xdr:row>
      <xdr:rowOff>76200</xdr:rowOff>
    </xdr:to>
    <mc:AlternateContent xmlns:mc="http://schemas.openxmlformats.org/markup-compatibility/2006" xmlns:a14="http://schemas.microsoft.com/office/drawing/2010/main">
      <mc:Choice Requires="a14">
        <xdr:graphicFrame macro="">
          <xdr:nvGraphicFramePr>
            <xdr:cNvPr id="6" name="TIPO">
              <a:extLst>
                <a:ext uri="{FF2B5EF4-FFF2-40B4-BE49-F238E27FC236}">
                  <a16:creationId xmlns:a16="http://schemas.microsoft.com/office/drawing/2014/main" id="{27279B30-1093-5136-6929-1FD35DE04470}"/>
                </a:ext>
              </a:extLst>
            </xdr:cNvPr>
            <xdr:cNvGraphicFramePr/>
          </xdr:nvGraphicFramePr>
          <xdr:xfrm>
            <a:off x="0" y="0"/>
            <a:ext cx="0" cy="0"/>
          </xdr:xfrm>
          <a:graphic>
            <a:graphicData uri="http://schemas.microsoft.com/office/drawing/2010/slicer">
              <sle:slicer xmlns:sle="http://schemas.microsoft.com/office/drawing/2010/slicer" name="TIPO"/>
            </a:graphicData>
          </a:graphic>
        </xdr:graphicFrame>
      </mc:Choice>
      <mc:Fallback xmlns="">
        <xdr:sp macro="" textlink="">
          <xdr:nvSpPr>
            <xdr:cNvPr id="0" name=""/>
            <xdr:cNvSpPr>
              <a:spLocks noTextEdit="1"/>
            </xdr:cNvSpPr>
          </xdr:nvSpPr>
          <xdr:spPr>
            <a:xfrm>
              <a:off x="6267450" y="209550"/>
              <a:ext cx="2324100" cy="819150"/>
            </a:xfrm>
            <a:prstGeom prst="rect">
              <a:avLst/>
            </a:prstGeom>
            <a:solidFill>
              <a:prstClr val="white"/>
            </a:solidFill>
            <a:ln w="1">
              <a:solidFill>
                <a:prstClr val="green"/>
              </a:solidFill>
            </a:ln>
          </xdr:spPr>
          <xdr:txBody>
            <a:bodyPr vertOverflow="clip" horzOverflow="clip"/>
            <a:lstStyle/>
            <a:p>
              <a:r>
                <a:rPr lang="es-MX"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xdr:from>
      <xdr:col>6</xdr:col>
      <xdr:colOff>104774</xdr:colOff>
      <xdr:row>5</xdr:row>
      <xdr:rowOff>123825</xdr:rowOff>
    </xdr:from>
    <xdr:to>
      <xdr:col>8</xdr:col>
      <xdr:colOff>1085850</xdr:colOff>
      <xdr:row>35</xdr:row>
      <xdr:rowOff>171450</xdr:rowOff>
    </xdr:to>
    <mc:AlternateContent xmlns:mc="http://schemas.openxmlformats.org/markup-compatibility/2006" xmlns:a14="http://schemas.microsoft.com/office/drawing/2010/main">
      <mc:Choice Requires="a14">
        <xdr:graphicFrame macro="">
          <xdr:nvGraphicFramePr>
            <xdr:cNvPr id="46" name="CATEGORÍA">
              <a:extLst>
                <a:ext uri="{FF2B5EF4-FFF2-40B4-BE49-F238E27FC236}">
                  <a16:creationId xmlns:a16="http://schemas.microsoft.com/office/drawing/2014/main" id="{73C44E7D-F7FA-300D-CBB7-6C0441F65196}"/>
                </a:ext>
              </a:extLst>
            </xdr:cNvPr>
            <xdr:cNvGraphicFramePr/>
          </xdr:nvGraphicFramePr>
          <xdr:xfrm>
            <a:off x="0" y="0"/>
            <a:ext cx="0" cy="0"/>
          </xdr:xfrm>
          <a:graphic>
            <a:graphicData uri="http://schemas.microsoft.com/office/drawing/2010/slicer">
              <sle:slicer xmlns:sle="http://schemas.microsoft.com/office/drawing/2010/slicer" name="CATEGORÍA"/>
            </a:graphicData>
          </a:graphic>
        </xdr:graphicFrame>
      </mc:Choice>
      <mc:Fallback xmlns="">
        <xdr:sp macro="" textlink="">
          <xdr:nvSpPr>
            <xdr:cNvPr id="0" name=""/>
            <xdr:cNvSpPr>
              <a:spLocks noTextEdit="1"/>
            </xdr:cNvSpPr>
          </xdr:nvSpPr>
          <xdr:spPr>
            <a:xfrm>
              <a:off x="6267449" y="1076325"/>
              <a:ext cx="2305051" cy="5829300"/>
            </a:xfrm>
            <a:prstGeom prst="rect">
              <a:avLst/>
            </a:prstGeom>
            <a:solidFill>
              <a:prstClr val="white"/>
            </a:solidFill>
            <a:ln w="1">
              <a:solidFill>
                <a:prstClr val="green"/>
              </a:solidFill>
            </a:ln>
          </xdr:spPr>
          <xdr:txBody>
            <a:bodyPr vertOverflow="clip" horzOverflow="clip"/>
            <a:lstStyle/>
            <a:p>
              <a:r>
                <a:rPr lang="es-MX"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xdr:from>
      <xdr:col>8</xdr:col>
      <xdr:colOff>802806</xdr:colOff>
      <xdr:row>1</xdr:row>
      <xdr:rowOff>48416</xdr:rowOff>
    </xdr:from>
    <xdr:to>
      <xdr:col>8</xdr:col>
      <xdr:colOff>1018806</xdr:colOff>
      <xdr:row>2</xdr:row>
      <xdr:rowOff>73916</xdr:rowOff>
    </xdr:to>
    <xdr:grpSp>
      <xdr:nvGrpSpPr>
        <xdr:cNvPr id="59" name="Agrupar 58">
          <a:extLst>
            <a:ext uri="{FF2B5EF4-FFF2-40B4-BE49-F238E27FC236}">
              <a16:creationId xmlns:a16="http://schemas.microsoft.com/office/drawing/2014/main" id="{299B3CA2-7314-4F1E-D6D2-CE4834D4414B}"/>
            </a:ext>
          </a:extLst>
        </xdr:cNvPr>
        <xdr:cNvGrpSpPr/>
      </xdr:nvGrpSpPr>
      <xdr:grpSpPr>
        <a:xfrm>
          <a:off x="6772275" y="238916"/>
          <a:ext cx="0" cy="216000"/>
          <a:chOff x="8297355" y="238916"/>
          <a:chExt cx="216000" cy="216000"/>
        </a:xfrm>
      </xdr:grpSpPr>
      <xdr:sp macro="[0]!Macro17" textlink="">
        <xdr:nvSpPr>
          <xdr:cNvPr id="52" name="Retângulo: Cantos Arredondados 51">
            <a:extLst>
              <a:ext uri="{FF2B5EF4-FFF2-40B4-BE49-F238E27FC236}">
                <a16:creationId xmlns:a16="http://schemas.microsoft.com/office/drawing/2014/main" id="{5841FE12-C720-6BB8-A36D-3D6B7B63E2A4}"/>
              </a:ext>
            </a:extLst>
          </xdr:cNvPr>
          <xdr:cNvSpPr/>
        </xdr:nvSpPr>
        <xdr:spPr>
          <a:xfrm>
            <a:off x="8297355" y="238916"/>
            <a:ext cx="216000" cy="216000"/>
          </a:xfrm>
          <a:prstGeom prst="roundRect">
            <a:avLst/>
          </a:prstGeom>
          <a:gradFill>
            <a:gsLst>
              <a:gs pos="0">
                <a:srgbClr val="27A936"/>
              </a:gs>
              <a:gs pos="18000">
                <a:srgbClr val="57A23B"/>
              </a:gs>
              <a:gs pos="81000">
                <a:srgbClr val="1B7325"/>
              </a:gs>
            </a:gsLst>
            <a:lin ang="0" scaled="0"/>
          </a:gradFill>
          <a:ln w="6350">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MX" sz="1100"/>
          </a:p>
        </xdr:txBody>
      </xdr:sp>
      <xdr:pic macro="[0]!Macro17">
        <xdr:nvPicPr>
          <xdr:cNvPr id="55" name="Gráfico 54" descr="Filtro estrutura de tópicos">
            <a:extLst>
              <a:ext uri="{FF2B5EF4-FFF2-40B4-BE49-F238E27FC236}">
                <a16:creationId xmlns:a16="http://schemas.microsoft.com/office/drawing/2014/main" id="{DB431CC6-0992-28F5-2700-E21AEB2C2024}"/>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xmlns="" r:embed="rId25"/>
              </a:ext>
            </a:extLst>
          </a:blip>
          <a:stretch>
            <a:fillRect/>
          </a:stretch>
        </xdr:blipFill>
        <xdr:spPr>
          <a:xfrm>
            <a:off x="8307319" y="249708"/>
            <a:ext cx="197275" cy="198727"/>
          </a:xfrm>
          <a:prstGeom prst="rect">
            <a:avLst/>
          </a:prstGeom>
        </xdr:spPr>
      </xdr:pic>
    </xdr:grpSp>
    <xdr:clientData/>
  </xdr:twoCellAnchor>
  <xdr:twoCellAnchor>
    <xdr:from>
      <xdr:col>8</xdr:col>
      <xdr:colOff>788430</xdr:colOff>
      <xdr:row>5</xdr:row>
      <xdr:rowOff>150636</xdr:rowOff>
    </xdr:from>
    <xdr:to>
      <xdr:col>8</xdr:col>
      <xdr:colOff>1004430</xdr:colOff>
      <xdr:row>6</xdr:row>
      <xdr:rowOff>176136</xdr:rowOff>
    </xdr:to>
    <xdr:grpSp>
      <xdr:nvGrpSpPr>
        <xdr:cNvPr id="58" name="Agrupar 57">
          <a:extLst>
            <a:ext uri="{FF2B5EF4-FFF2-40B4-BE49-F238E27FC236}">
              <a16:creationId xmlns:a16="http://schemas.microsoft.com/office/drawing/2014/main" id="{C5728D0E-191E-E029-3FDD-A2C95C3A2891}"/>
            </a:ext>
          </a:extLst>
        </xdr:cNvPr>
        <xdr:cNvGrpSpPr/>
      </xdr:nvGrpSpPr>
      <xdr:grpSpPr>
        <a:xfrm>
          <a:off x="6772275" y="1103136"/>
          <a:ext cx="0" cy="216000"/>
          <a:chOff x="8297355" y="1103136"/>
          <a:chExt cx="216000" cy="216000"/>
        </a:xfrm>
      </xdr:grpSpPr>
      <xdr:sp macro="[0]!Macro18" textlink="">
        <xdr:nvSpPr>
          <xdr:cNvPr id="57" name="Retângulo: Cantos Arredondados 56">
            <a:extLst>
              <a:ext uri="{FF2B5EF4-FFF2-40B4-BE49-F238E27FC236}">
                <a16:creationId xmlns:a16="http://schemas.microsoft.com/office/drawing/2014/main" id="{BF8ED58B-B82F-2F23-78F2-4BEDDA62E25E}"/>
              </a:ext>
            </a:extLst>
          </xdr:cNvPr>
          <xdr:cNvSpPr/>
        </xdr:nvSpPr>
        <xdr:spPr>
          <a:xfrm>
            <a:off x="8297355" y="1103136"/>
            <a:ext cx="216000" cy="216000"/>
          </a:xfrm>
          <a:prstGeom prst="roundRect">
            <a:avLst/>
          </a:prstGeom>
          <a:gradFill>
            <a:gsLst>
              <a:gs pos="0">
                <a:srgbClr val="27A936"/>
              </a:gs>
              <a:gs pos="18000">
                <a:srgbClr val="57A23B"/>
              </a:gs>
              <a:gs pos="81000">
                <a:srgbClr val="1B7325"/>
              </a:gs>
            </a:gsLst>
            <a:lin ang="0" scaled="0"/>
          </a:gradFill>
          <a:ln w="6350">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MX" sz="1100"/>
          </a:p>
        </xdr:txBody>
      </xdr:sp>
      <xdr:pic macro="[0]!Macro18">
        <xdr:nvPicPr>
          <xdr:cNvPr id="56" name="Gráfico 55" descr="Filtro estrutura de tópicos">
            <a:extLst>
              <a:ext uri="{FF2B5EF4-FFF2-40B4-BE49-F238E27FC236}">
                <a16:creationId xmlns:a16="http://schemas.microsoft.com/office/drawing/2014/main" id="{0744514D-EC92-64F3-E0DD-F13759C19FFC}"/>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xmlns="" r:embed="rId27"/>
              </a:ext>
            </a:extLst>
          </a:blip>
          <a:stretch>
            <a:fillRect/>
          </a:stretch>
        </xdr:blipFill>
        <xdr:spPr>
          <a:xfrm>
            <a:off x="8306649" y="1111012"/>
            <a:ext cx="197334" cy="198000"/>
          </a:xfrm>
          <a:prstGeom prst="rect">
            <a:avLst/>
          </a:prstGeom>
        </xdr:spPr>
      </xdr:pic>
    </xdr:grpSp>
    <xdr:clientData/>
  </xdr:twoCellAnchor>
  <xdr:twoCellAnchor editAs="oneCell">
    <xdr:from>
      <xdr:col>17</xdr:col>
      <xdr:colOff>155833</xdr:colOff>
      <xdr:row>7</xdr:row>
      <xdr:rowOff>152543</xdr:rowOff>
    </xdr:from>
    <xdr:to>
      <xdr:col>21</xdr:col>
      <xdr:colOff>26965</xdr:colOff>
      <xdr:row>19</xdr:row>
      <xdr:rowOff>42724</xdr:rowOff>
    </xdr:to>
    <xdr:graphicFrame macro="">
      <xdr:nvGraphicFramePr>
        <xdr:cNvPr id="60" name="Gráfico 59">
          <a:extLst>
            <a:ext uri="{FF2B5EF4-FFF2-40B4-BE49-F238E27FC236}">
              <a16:creationId xmlns:a16="http://schemas.microsoft.com/office/drawing/2014/main" id="{C8CA44F4-0796-47EA-A57C-23F5B2EF4A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fLocksWithSheet="0"/>
  </xdr:twoCellAnchor>
</xdr:wsDr>
</file>

<file path=xl/drawings/drawing3.xml><?xml version="1.0" encoding="utf-8"?>
<xdr:wsDr xmlns:xdr="http://schemas.openxmlformats.org/drawingml/2006/spreadsheetDrawing" xmlns:a="http://schemas.openxmlformats.org/drawingml/2006/main">
  <xdr:twoCellAnchor editAs="oneCell">
    <xdr:from>
      <xdr:col>2</xdr:col>
      <xdr:colOff>233528</xdr:colOff>
      <xdr:row>1</xdr:row>
      <xdr:rowOff>77050</xdr:rowOff>
    </xdr:from>
    <xdr:to>
      <xdr:col>2</xdr:col>
      <xdr:colOff>1214603</xdr:colOff>
      <xdr:row>2</xdr:row>
      <xdr:rowOff>136922</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A2C94D6E-BC5D-4123-807B-ED8087BFC30F}"/>
            </a:ext>
          </a:extLst>
        </xdr:cNvPr>
        <xdr:cNvSpPr/>
      </xdr:nvSpPr>
      <xdr:spPr>
        <a:xfrm>
          <a:off x="608575" y="279456"/>
          <a:ext cx="981075" cy="250372"/>
        </a:xfrm>
        <a:prstGeom prst="roundRect">
          <a:avLst/>
        </a:prstGeom>
        <a:solidFill>
          <a:schemeClr val="dk1">
            <a:alpha val="85000"/>
          </a:schemeClr>
        </a:solidFill>
        <a:ln>
          <a:noFill/>
        </a:ln>
        <a:effectLst>
          <a:outerShdw blurRad="63500" sx="102000" sy="102000" algn="ctr"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t>VOLVER</a:t>
          </a:r>
          <a:endParaRPr lang="pt-BR" sz="12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Guillermo Giraldo" refreshedDate="46274.358730092594" createdVersion="8" refreshedVersion="6" minRefreshableVersion="3" recordCount="570">
  <cacheSource type="worksheet">
    <worksheetSource ref="B13:F583" sheet="Control de Finanzas"/>
  </cacheSource>
  <cacheFields count="5">
    <cacheField name="FECHA" numFmtId="14">
      <sharedItems containsNonDate="0" containsDate="1" containsString="0" containsBlank="1" minDate="2025-01-01T00:00:00" maxDate="2025-01-02T00:00:00" count="2">
        <m/>
        <d v="2025-01-01T00:00:00"/>
      </sharedItems>
    </cacheField>
    <cacheField name="DESCRIPCIÓN" numFmtId="0">
      <sharedItems containsNonDate="0" containsBlank="1" count="121">
        <m/>
        <s v="Pago Yuli" u="1"/>
        <s v="Paseo" u="1"/>
        <s v="Abono Papa" u="1"/>
        <s v="asads" u="1"/>
        <s v="Tocineta,Guacamole,Maicito" u="1"/>
        <s v="s" u="1"/>
        <s v="teste 2" u="1"/>
        <s v="Internet" u="1"/>
        <s v="Pagos" u="1"/>
        <s v="Transferencias" u="1"/>
        <s v="Queso" u="1"/>
        <s v="Transporte" u="1"/>
        <s v="Bombones y tortas " u="1"/>
        <s v="Quso" u="1"/>
        <s v="Transporte papa" u="1"/>
        <s v="Cebolla y tomate " u="1"/>
        <s v="Harina" u="1"/>
        <s v="Lechuga " u="1"/>
        <s v="Canastas " u="1"/>
        <s v="Carne" u="1"/>
        <s v="Javon y Servilletas " u="1"/>
        <s v="fdasd" u="1"/>
        <s v="Postobón" u="1"/>
        <s v="Blanqueador, desengrasante y jabón de cocina" u="1"/>
        <s v="Tortas" u="1"/>
        <s v="Tocineta" u="1"/>
        <s v="Lavada mueble" u="1"/>
        <s v="Pago a Crédito" u="1"/>
        <s v="Comandas y Rollos para facturar" u="1"/>
        <s v="Guantes cocina" u="1"/>
        <s v="Varios leslie" u="1"/>
        <s v="Coca-Cola" u="1"/>
        <s v="TC Leslie" u="1"/>
        <s v="Bolsas T30 y T25" u="1"/>
        <s v="Gastos" u="1"/>
        <s v="Arriendo" u="1"/>
        <s v="dasd" u="1"/>
        <s v="Comisión" u="1"/>
        <s v="Carne y chicharron" u="1"/>
        <s v="Gastos varios personales" u="1"/>
        <s v="Tocineta " u="1"/>
        <s v="Transferencias " u="1"/>
        <s v="Vasos " u="1"/>
        <s v="Trapos " u="1"/>
        <s v="Surtiven" u="1"/>
        <s v="Volantes" u="1"/>
        <s v="Tomate y cebolla" u="1"/>
        <s v="Bolsas " u="1"/>
        <s v="Porta salsas" u="1"/>
        <s v="Seguro Médico" u="1"/>
        <s v="Bombones" u="1"/>
        <s v="Fotocopias" u="1"/>
        <s v="Servilletas" u="1"/>
        <s v="Efectivo" u="1"/>
        <s v="Gasolina" u="1"/>
        <s v="Abono Caldas" u="1"/>
        <s v="asdas" u="1"/>
        <s v="Publicidad" u="1"/>
        <s v="Lechuga" u="1"/>
        <s v="Pagos " u="1"/>
        <s v="Cirugia Isaac" u="1"/>
        <s v="Parqueaderos Leslie" u="1"/>
        <s v="a" u="1"/>
        <s v="Cocacola" u="1"/>
        <s v="Supermercado" u="1"/>
        <s v="t" u="1"/>
        <s v="Surtido" u="1"/>
        <s v="Bombones " u="1"/>
        <s v="Cocacola 400" u="1"/>
        <s v="Renta" u="1"/>
        <s v="Efectivo " u="1"/>
        <s v="ssss" u="1"/>
        <s v="Huevos" u="1"/>
        <s v="Comandas " u="1"/>
        <s v="Revuelteria" u="1"/>
        <s v="Carne " u="1"/>
        <s v="Queso costeño" u="1"/>
        <s v="sff" u="1"/>
        <s v="Ofrendas" u="1"/>
        <s v="Pago Andrea" u="1"/>
        <s v="Usb TV" u="1"/>
        <s v="TC Moto" u="1"/>
        <s v="Paquete tenedores" u="1"/>
        <s v="Verduras" u="1"/>
        <s v="Abono Caldas " u="1"/>
        <s v="Azucar" u="1"/>
        <s v="Carne y chicharron " u="1"/>
        <s v="Maduro" u="1"/>
        <s v="Chorizos" u="1"/>
        <s v="Servicios públicos" u="1"/>
        <s v="Aceite 3 en 1" u="1"/>
        <s v="sdasd" u="1"/>
        <s v="Sueldo" u="1"/>
        <s v="Tranferencias " u="1"/>
        <s v="Salida Rodar Ruta Lechera" u="1"/>
        <s v="Transporte " u="1"/>
        <s v="Bombones y tortas" u="1"/>
        <s v="dasdas" u="1"/>
        <s v="Postobon" u="1"/>
        <s v="Cajas Familiar  X50" u="1"/>
        <s v="Arepas" u="1"/>
        <s v="Cajas 25X25" u="1"/>
        <s v="Servilletas " u="1"/>
        <s v="Sal y Harina" u="1"/>
        <s v="Prestamo Nicloas" u="1"/>
        <s v="eraf" u="1"/>
        <s v="teste" u="1"/>
        <s v="b" u="1"/>
        <s v="Rollo para facturar" u="1"/>
        <s v="Guacamole" u="1"/>
        <s v="Cebolla y tomates" u="1"/>
        <s v="Aseo" u="1"/>
        <s v="Revuelteria " u="1"/>
        <s v="Bolsas Negras Basura X 50" u="1"/>
        <s v="Bolsas domicilios" u="1"/>
        <s v="Vasos" u="1"/>
        <s v="das" u="1"/>
        <s v="Luz" u="1"/>
        <s v="Aseo " u="1"/>
        <s v="Abono deuda Suly" u="1"/>
      </sharedItems>
    </cacheField>
    <cacheField name="TIPO" numFmtId="0">
      <sharedItems containsNonDate="0" containsBlank="1" count="3">
        <m/>
        <s v="Gasto" u="1"/>
        <s v="Ingreso" u="1"/>
      </sharedItems>
    </cacheField>
    <cacheField name="CATEGORÍA" numFmtId="0">
      <sharedItems containsNonDate="0" containsBlank="1" count="31">
        <m/>
        <s v="Carniceria" u="1"/>
        <s v="Tenedores" u="1"/>
        <s v="Transporte" u="1"/>
        <s v="Transporte Papa" u="1"/>
        <s v="Banco" u="1"/>
        <s v="Impuestos" u="1"/>
        <s v="Entretenimiento" u="1"/>
        <s v="Arriendo" u="1"/>
        <s v="Carne y chicharron" u="1"/>
        <s v="Servicios" u="1"/>
        <s v="Vivienda" u="1"/>
        <s v="Papa Casteblanco" u="1"/>
        <s v="Sueldos" u="1"/>
        <s v="Ingresos" u="1"/>
        <s v="Gaseosa" u="1"/>
        <s v="Surtiven " u="1"/>
        <s v="Publicidad" u="1"/>
        <s v="Todo en Uno Caldas" u="1"/>
        <s v="Revuelteria" u="1"/>
        <s v="Salud y Medicina" u="1"/>
        <s v="Educación" u="1"/>
        <s v="Pramont" u="1"/>
        <s v="Sueldo" u="1"/>
        <s v="Bombones y Tortas" u="1"/>
        <s v="Bancos y Comisiones" u="1"/>
        <s v="Ajustes Diarios " u="1"/>
        <s v="Aquí Todo " u="1"/>
        <s v="Otros" u="1"/>
        <s v="Compras Diarias" u="1"/>
        <s v="Comida y Restaurantes" u="1"/>
      </sharedItems>
    </cacheField>
    <cacheField name="MONTO" numFmtId="166">
      <sharedItems containsNonDate="0" containsString="0" containsBlank="1"/>
    </cacheField>
  </cacheFields>
  <extLst>
    <ext xmlns:x14="http://schemas.microsoft.com/office/spreadsheetml/2009/9/main" uri="{725AE2AE-9491-48be-B2B4-4EB974FC3084}">
      <x14:pivotCacheDefinition pivotCacheId="459184528"/>
    </ext>
  </extLst>
</pivotCacheDefinition>
</file>

<file path=xl/pivotCache/pivotCacheRecords1.xml><?xml version="1.0" encoding="utf-8"?>
<pivotCacheRecords xmlns="http://schemas.openxmlformats.org/spreadsheetml/2006/main" xmlns:r="http://schemas.openxmlformats.org/officeDocument/2006/relationships" count="570">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0"/>
    <x v="0"/>
    <x v="0"/>
    <x v="0"/>
    <m/>
  </r>
  <r>
    <x v="1"/>
    <x v="0"/>
    <x v="0"/>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1" cacheId="12" applyNumberFormats="0" applyBorderFormats="0" applyFontFormats="0" applyPatternFormats="0" applyAlignmentFormats="0" applyWidthHeightFormats="1" dataCaption="Valores" updatedVersion="6" minRefreshableVersion="5" useAutoFormatting="1" rowGrandTotals="0" colGrandTotals="0" itemPrintTitles="1" createdVersion="8" indent="0" outline="1" outlineData="1" multipleFieldFilters="0" chartFormat="7" rowHeaderCaption="Item">
  <location ref="X2:Y2" firstHeaderRow="1" firstDataRow="1" firstDataCol="1"/>
  <pivotFields count="5">
    <pivotField showAll="0">
      <items count="3">
        <item x="1"/>
        <item x="0"/>
        <item t="default"/>
      </items>
    </pivotField>
    <pivotField axis="axisRow" showAll="0">
      <items count="122">
        <item x="0"/>
        <item m="1" x="63"/>
        <item m="1" x="6"/>
        <item m="1" x="108"/>
        <item m="1" x="98"/>
        <item m="1" x="78"/>
        <item m="1" x="72"/>
        <item m="1" x="22"/>
        <item m="1" x="57"/>
        <item m="1" x="106"/>
        <item m="1" x="92"/>
        <item m="1" x="93"/>
        <item m="1" x="70"/>
        <item m="1" x="55"/>
        <item m="1" x="65"/>
        <item m="1" x="50"/>
        <item m="1" x="38"/>
        <item m="1" x="8"/>
        <item m="1" x="118"/>
        <item m="1" x="2"/>
        <item m="1" x="28"/>
        <item m="1" x="4"/>
        <item m="1" x="117"/>
        <item m="1" x="107"/>
        <item m="1" x="7"/>
        <item m="1" x="66"/>
        <item m="1" x="37"/>
        <item m="1" x="39"/>
        <item m="1" x="97"/>
        <item m="1" x="41"/>
        <item m="1" x="9"/>
        <item m="1" x="42"/>
        <item m="1" x="71"/>
        <item m="1" x="119"/>
        <item m="1" x="60"/>
        <item m="1" x="10"/>
        <item m="1" x="54"/>
        <item m="1" x="44"/>
        <item m="1" x="110"/>
        <item m="1" x="74"/>
        <item m="1" x="75"/>
        <item m="1" x="87"/>
        <item m="1" x="104"/>
        <item m="1" x="21"/>
        <item m="1" x="49"/>
        <item m="1" x="68"/>
        <item m="1" x="94"/>
        <item m="1" x="13"/>
        <item m="1" x="53"/>
        <item m="1" x="113"/>
        <item m="1" x="73"/>
        <item m="1" x="112"/>
        <item m="1" x="26"/>
        <item m="1" x="91"/>
        <item m="1" x="105"/>
        <item m="1" x="103"/>
        <item m="1" x="29"/>
        <item m="1" x="115"/>
        <item m="1" x="23"/>
        <item m="1" x="64"/>
        <item m="1" x="36"/>
        <item m="1" x="90"/>
        <item m="1" x="99"/>
        <item m="1" x="58"/>
        <item m="1" x="67"/>
        <item m="1" x="17"/>
        <item m="1" x="43"/>
        <item m="1" x="1"/>
        <item m="1" x="59"/>
        <item m="1" x="80"/>
        <item m="1" x="102"/>
        <item m="1" x="114"/>
        <item m="1" x="12"/>
        <item m="1" x="100"/>
        <item m="1" x="56"/>
        <item m="1" x="120"/>
        <item m="1" x="61"/>
        <item m="1" x="47"/>
        <item m="1" x="25"/>
        <item m="1" x="101"/>
        <item m="1" x="77"/>
        <item m="1" x="34"/>
        <item m="1" x="30"/>
        <item m="1" x="96"/>
        <item m="1" x="3"/>
        <item m="1" x="82"/>
        <item m="1" x="33"/>
        <item m="1" x="62"/>
        <item m="1" x="11"/>
        <item m="1" x="16"/>
        <item m="1" x="88"/>
        <item m="1" x="89"/>
        <item m="1" x="95"/>
        <item m="1" x="83"/>
        <item m="1" x="35"/>
        <item m="1" x="19"/>
        <item m="1" x="14"/>
        <item m="1" x="27"/>
        <item m="1" x="31"/>
        <item m="1" x="109"/>
        <item m="1" x="51"/>
        <item m="1" x="76"/>
        <item m="1" x="86"/>
        <item m="1" x="18"/>
        <item m="1" x="48"/>
        <item m="1" x="24"/>
        <item m="1" x="116"/>
        <item m="1" x="84"/>
        <item m="1" x="15"/>
        <item m="1" x="45"/>
        <item m="1" x="85"/>
        <item m="1" x="79"/>
        <item m="1" x="40"/>
        <item m="1" x="81"/>
        <item m="1" x="69"/>
        <item m="1" x="20"/>
        <item m="1" x="5"/>
        <item m="1" x="46"/>
        <item m="1" x="32"/>
        <item m="1" x="111"/>
        <item m="1" x="52"/>
        <item t="default"/>
      </items>
    </pivotField>
    <pivotField axis="axisRow" showAll="0" measureFilter="1">
      <items count="4">
        <item x="0"/>
        <item m="1" x="2"/>
        <item m="1" x="1"/>
        <item t="default"/>
      </items>
    </pivotField>
    <pivotField axis="axisRow" showAll="0" measureFilter="1">
      <items count="32">
        <item x="0"/>
        <item m="1" x="14"/>
        <item m="1" x="25"/>
        <item m="1" x="23"/>
        <item m="1" x="20"/>
        <item sd="0" m="1" x="30"/>
        <item m="1" x="21"/>
        <item sd="0" m="1" x="11"/>
        <item sd="0" m="1" x="7"/>
        <item sd="0" m="1" x="3"/>
        <item m="1" x="6"/>
        <item m="1" x="9"/>
        <item m="1" x="29"/>
        <item m="1" x="13"/>
        <item m="1" x="5"/>
        <item m="1" x="28"/>
        <item m="1" x="15"/>
        <item m="1" x="27"/>
        <item m="1" x="24"/>
        <item m="1" x="1"/>
        <item m="1" x="19"/>
        <item m="1" x="8"/>
        <item m="1" x="10"/>
        <item m="1" x="17"/>
        <item m="1" x="18"/>
        <item m="1" x="4"/>
        <item m="1" x="26"/>
        <item m="1" x="12"/>
        <item m="1" x="22"/>
        <item m="1" x="2"/>
        <item m="1" x="16"/>
        <item t="default"/>
      </items>
    </pivotField>
    <pivotField dataField="1" showAll="0"/>
  </pivotFields>
  <rowFields count="3">
    <field x="2"/>
    <field x="3"/>
    <field x="1"/>
  </rowFields>
  <colItems count="1">
    <i/>
  </colItems>
  <dataFields count="1">
    <dataField name="Soma de MONTO" fld="4" baseField="2" baseItem="1"/>
  </dataFields>
  <formats count="4">
    <format dxfId="12">
      <pivotArea dataOnly="0" labelOnly="1" outline="0" axis="axisValues" fieldPosition="0"/>
    </format>
    <format dxfId="11">
      <pivotArea dataOnly="0" labelOnly="1" outline="0" axis="axisValues" fieldPosition="0"/>
    </format>
    <format dxfId="10">
      <pivotArea outline="0" collapsedLevelsAreSubtotals="1" fieldPosition="0"/>
    </format>
    <format dxfId="9">
      <pivotArea dataOnly="0" labelOnly="1" outline="0" axis="axisValues" fieldPosition="0"/>
    </format>
  </formats>
  <pivotTableStyleInfo name="PivotStyleDark7 2" showRowHeaders="1" showColHeaders="1" showRowStripes="0" showColStripes="0" showLastColumn="1"/>
  <filters count="3">
    <filter fld="0" type="dateBetween" evalOrder="-1" id="2657" name="FECHA">
      <autoFilter ref="A1">
        <filterColumn colId="0">
          <customFilters and="1">
            <customFilter operator="greaterThanOrEqual" val="45931"/>
            <customFilter operator="lessThanOrEqual" val="45961"/>
          </customFilters>
        </filterColumn>
      </autoFilter>
      <extLst>
        <ext xmlns:x15="http://schemas.microsoft.com/office/spreadsheetml/2010/11/main" uri="{0605FD5F-26C8-4aeb-8148-2DB25E43C511}">
          <x15:pivotFilter useWholeDay="1"/>
        </ext>
      </extLst>
    </filter>
    <filter fld="3" type="valueNotEqual" evalOrder="-1" id="1792" iMeasureFld="0">
      <autoFilter ref="A1">
        <filterColumn colId="0">
          <customFilters>
            <customFilter operator="notEqual" val="0"/>
          </customFilters>
        </filterColumn>
      </autoFilter>
    </filter>
    <filter fld="2" type="valueNotEqual" evalOrder="-1" id="1793"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abela dinâmica1" cacheId="12" applyNumberFormats="0" applyBorderFormats="0" applyFontFormats="0" applyPatternFormats="0" applyAlignmentFormats="0" applyWidthHeightFormats="1" dataCaption="Valores" updatedVersion="6" minRefreshableVersion="5" useAutoFormatting="1" itemPrintTitles="1" createdVersion="8" indent="0" outline="1" outlineData="1" multipleFieldFilters="0" chartFormat="21">
  <location ref="A3:B4" firstHeaderRow="1" firstDataRow="1" firstDataCol="1"/>
  <pivotFields count="5">
    <pivotField showAll="0">
      <items count="3">
        <item x="1"/>
        <item x="0"/>
        <item t="default"/>
      </items>
    </pivotField>
    <pivotField showAll="0"/>
    <pivotField axis="axisRow" showAll="0" measureFilter="1" sortType="ascending">
      <items count="4">
        <item m="1" x="1"/>
        <item m="1" x="2"/>
        <item x="0"/>
        <item t="default"/>
      </items>
    </pivotField>
    <pivotField showAll="0" measureFilter="1">
      <items count="32">
        <item m="1" x="26"/>
        <item m="1" x="27"/>
        <item m="1" x="8"/>
        <item m="1" x="5"/>
        <item m="1" x="25"/>
        <item m="1" x="24"/>
        <item m="1" x="9"/>
        <item m="1" x="1"/>
        <item m="1" x="30"/>
        <item m="1" x="29"/>
        <item m="1" x="21"/>
        <item m="1" x="7"/>
        <item m="1" x="15"/>
        <item m="1" x="6"/>
        <item m="1" x="14"/>
        <item m="1" x="28"/>
        <item m="1" x="12"/>
        <item m="1" x="22"/>
        <item m="1" x="17"/>
        <item m="1" x="19"/>
        <item m="1" x="20"/>
        <item m="1" x="10"/>
        <item m="1" x="23"/>
        <item m="1" x="13"/>
        <item m="1" x="16"/>
        <item m="1" x="2"/>
        <item m="1" x="18"/>
        <item m="1" x="3"/>
        <item m="1" x="4"/>
        <item m="1" x="11"/>
        <item x="0"/>
        <item t="default"/>
      </items>
    </pivotField>
    <pivotField dataField="1" showAll="0"/>
  </pivotFields>
  <rowFields count="1">
    <field x="2"/>
  </rowFields>
  <rowItems count="1">
    <i t="grand">
      <x/>
    </i>
  </rowItems>
  <colItems count="1">
    <i/>
  </colItems>
  <dataFields count="1">
    <dataField name="Soma de MONTO" fld="4" baseField="2" baseItem="1" numFmtId="165"/>
  </dataFields>
  <chartFormats count="4">
    <chartFormat chart="6" format="28" series="1">
      <pivotArea type="data" outline="0" fieldPosition="0">
        <references count="1">
          <reference field="4294967294" count="1" selected="0">
            <x v="0"/>
          </reference>
        </references>
      </pivotArea>
    </chartFormat>
    <chartFormat chart="6" format="29">
      <pivotArea type="data" outline="0" fieldPosition="0">
        <references count="2">
          <reference field="4294967294" count="1" selected="0">
            <x v="0"/>
          </reference>
          <reference field="2" count="1" selected="0">
            <x v="0"/>
          </reference>
        </references>
      </pivotArea>
    </chartFormat>
    <chartFormat chart="6" format="30">
      <pivotArea type="data" outline="0" fieldPosition="0">
        <references count="2">
          <reference field="4294967294" count="1" selected="0">
            <x v="0"/>
          </reference>
          <reference field="2" count="1" selected="0">
            <x v="1"/>
          </reference>
        </references>
      </pivotArea>
    </chartFormat>
    <chartFormat chart="6" format="3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3">
    <filter fld="0" type="dateBetween" evalOrder="-1" id="2770" name="FECHA">
      <autoFilter ref="A1">
        <filterColumn colId="0">
          <customFilters and="1">
            <customFilter operator="greaterThanOrEqual" val="45931"/>
            <customFilter operator="lessThanOrEqual" val="45961"/>
          </customFilters>
        </filterColumn>
      </autoFilter>
      <extLst>
        <ext xmlns:x15="http://schemas.microsoft.com/office/spreadsheetml/2010/11/main" uri="{0605FD5F-26C8-4aeb-8148-2DB25E43C511}">
          <x15:pivotFilter useWholeDay="1"/>
        </ext>
      </extLst>
    </filter>
    <filter fld="3" type="valueNotEqual" evalOrder="-1" id="1905" iMeasureFld="0">
      <autoFilter ref="A1">
        <filterColumn colId="0">
          <customFilters>
            <customFilter operator="notEqual" val="0"/>
          </customFilters>
        </filterColumn>
      </autoFilter>
    </filter>
    <filter fld="2" type="valueNotEqual" evalOrder="-1" id="1906"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Tabela dinâmica1" cacheId="12" applyNumberFormats="0" applyBorderFormats="0" applyFontFormats="0" applyPatternFormats="0" applyAlignmentFormats="0" applyWidthHeightFormats="1" dataCaption="Valores" updatedVersion="6" minRefreshableVersion="5" useAutoFormatting="1" itemPrintTitles="1" createdVersion="8" indent="0" outline="1" outlineData="1" multipleFieldFilters="0" chartFormat="42">
  <location ref="A3:B4" firstHeaderRow="1" firstDataRow="1" firstDataCol="1"/>
  <pivotFields count="5">
    <pivotField showAll="0">
      <items count="3">
        <item x="1"/>
        <item x="0"/>
        <item t="default"/>
      </items>
    </pivotField>
    <pivotField showAll="0"/>
    <pivotField multipleItemSelectionAllowed="1" showAll="0" measureFilter="1">
      <items count="4">
        <item m="1" x="1"/>
        <item m="1" x="2"/>
        <item x="0"/>
        <item t="default"/>
      </items>
    </pivotField>
    <pivotField axis="axisRow" showAll="0" measureFilter="1">
      <items count="32">
        <item x="0"/>
        <item m="1" x="14"/>
        <item m="1" x="25"/>
        <item m="1" x="23"/>
        <item m="1" x="20"/>
        <item m="1" x="30"/>
        <item m="1" x="21"/>
        <item m="1" x="11"/>
        <item m="1" x="7"/>
        <item m="1" x="3"/>
        <item m="1" x="6"/>
        <item m="1" x="9"/>
        <item m="1" x="29"/>
        <item m="1" x="13"/>
        <item m="1" x="5"/>
        <item m="1" x="28"/>
        <item m="1" x="15"/>
        <item m="1" x="27"/>
        <item m="1" x="24"/>
        <item m="1" x="1"/>
        <item m="1" x="19"/>
        <item m="1" x="8"/>
        <item m="1" x="10"/>
        <item m="1" x="17"/>
        <item m="1" x="18"/>
        <item m="1" x="4"/>
        <item m="1" x="26"/>
        <item m="1" x="12"/>
        <item m="1" x="22"/>
        <item m="1" x="2"/>
        <item m="1" x="16"/>
        <item t="default"/>
      </items>
    </pivotField>
    <pivotField dataField="1" showAll="0"/>
  </pivotFields>
  <rowFields count="1">
    <field x="3"/>
  </rowFields>
  <rowItems count="1">
    <i t="grand">
      <x/>
    </i>
  </rowItems>
  <colItems count="1">
    <i/>
  </colItems>
  <dataFields count="1">
    <dataField name="Soma de MONTO" fld="4" baseField="3" baseItem="1" numFmtId="165"/>
  </dataFields>
  <chartFormats count="62">
    <chartFormat chart="5" format="79" series="1">
      <pivotArea type="data" outline="0" fieldPosition="0">
        <references count="1">
          <reference field="4294967294" count="1" selected="0">
            <x v="0"/>
          </reference>
        </references>
      </pivotArea>
    </chartFormat>
    <chartFormat chart="5" format="80">
      <pivotArea type="data" outline="0" fieldPosition="0">
        <references count="2">
          <reference field="4294967294" count="1" selected="0">
            <x v="0"/>
          </reference>
          <reference field="3" count="1" selected="0">
            <x v="1"/>
          </reference>
        </references>
      </pivotArea>
    </chartFormat>
    <chartFormat chart="5" format="81">
      <pivotArea type="data" outline="0" fieldPosition="0">
        <references count="2">
          <reference field="4294967294" count="1" selected="0">
            <x v="0"/>
          </reference>
          <reference field="3" count="1" selected="0">
            <x v="2"/>
          </reference>
        </references>
      </pivotArea>
    </chartFormat>
    <chartFormat chart="5" format="82">
      <pivotArea type="data" outline="0" fieldPosition="0">
        <references count="2">
          <reference field="4294967294" count="1" selected="0">
            <x v="0"/>
          </reference>
          <reference field="3" count="1" selected="0">
            <x v="3"/>
          </reference>
        </references>
      </pivotArea>
    </chartFormat>
    <chartFormat chart="5" format="83">
      <pivotArea type="data" outline="0" fieldPosition="0">
        <references count="2">
          <reference field="4294967294" count="1" selected="0">
            <x v="0"/>
          </reference>
          <reference field="3" count="1" selected="0">
            <x v="4"/>
          </reference>
        </references>
      </pivotArea>
    </chartFormat>
    <chartFormat chart="5" format="84">
      <pivotArea type="data" outline="0" fieldPosition="0">
        <references count="2">
          <reference field="4294967294" count="1" selected="0">
            <x v="0"/>
          </reference>
          <reference field="3" count="1" selected="0">
            <x v="5"/>
          </reference>
        </references>
      </pivotArea>
    </chartFormat>
    <chartFormat chart="5" format="85">
      <pivotArea type="data" outline="0" fieldPosition="0">
        <references count="2">
          <reference field="4294967294" count="1" selected="0">
            <x v="0"/>
          </reference>
          <reference field="3" count="1" selected="0">
            <x v="6"/>
          </reference>
        </references>
      </pivotArea>
    </chartFormat>
    <chartFormat chart="5" format="86">
      <pivotArea type="data" outline="0" fieldPosition="0">
        <references count="2">
          <reference field="4294967294" count="1" selected="0">
            <x v="0"/>
          </reference>
          <reference field="3" count="1" selected="0">
            <x v="10"/>
          </reference>
        </references>
      </pivotArea>
    </chartFormat>
    <chartFormat chart="5" format="87">
      <pivotArea type="data" outline="0" fieldPosition="0">
        <references count="2">
          <reference field="4294967294" count="1" selected="0">
            <x v="0"/>
          </reference>
          <reference field="3" count="1" selected="0">
            <x v="7"/>
          </reference>
        </references>
      </pivotArea>
    </chartFormat>
    <chartFormat chart="5" format="88">
      <pivotArea type="data" outline="0" fieldPosition="0">
        <references count="2">
          <reference field="4294967294" count="1" selected="0">
            <x v="0"/>
          </reference>
          <reference field="3" count="1" selected="0">
            <x v="8"/>
          </reference>
        </references>
      </pivotArea>
    </chartFormat>
    <chartFormat chart="5" format="89">
      <pivotArea type="data" outline="0" fieldPosition="0">
        <references count="2">
          <reference field="4294967294" count="1" selected="0">
            <x v="0"/>
          </reference>
          <reference field="3" count="1" selected="0">
            <x v="9"/>
          </reference>
        </references>
      </pivotArea>
    </chartFormat>
    <chartFormat chart="39" format="101" series="1">
      <pivotArea type="data" outline="0" fieldPosition="0">
        <references count="1">
          <reference field="4294967294" count="1" selected="0">
            <x v="0"/>
          </reference>
        </references>
      </pivotArea>
    </chartFormat>
    <chartFormat chart="39" format="102">
      <pivotArea type="data" outline="0" fieldPosition="0">
        <references count="2">
          <reference field="4294967294" count="1" selected="0">
            <x v="0"/>
          </reference>
          <reference field="3" count="1" selected="0">
            <x v="1"/>
          </reference>
        </references>
      </pivotArea>
    </chartFormat>
    <chartFormat chart="39" format="103">
      <pivotArea type="data" outline="0" fieldPosition="0">
        <references count="2">
          <reference field="4294967294" count="1" selected="0">
            <x v="0"/>
          </reference>
          <reference field="3" count="1" selected="0">
            <x v="2"/>
          </reference>
        </references>
      </pivotArea>
    </chartFormat>
    <chartFormat chart="39" format="104">
      <pivotArea type="data" outline="0" fieldPosition="0">
        <references count="2">
          <reference field="4294967294" count="1" selected="0">
            <x v="0"/>
          </reference>
          <reference field="3" count="1" selected="0">
            <x v="3"/>
          </reference>
        </references>
      </pivotArea>
    </chartFormat>
    <chartFormat chart="39" format="105">
      <pivotArea type="data" outline="0" fieldPosition="0">
        <references count="2">
          <reference field="4294967294" count="1" selected="0">
            <x v="0"/>
          </reference>
          <reference field="3" count="1" selected="0">
            <x v="4"/>
          </reference>
        </references>
      </pivotArea>
    </chartFormat>
    <chartFormat chart="39" format="106">
      <pivotArea type="data" outline="0" fieldPosition="0">
        <references count="2">
          <reference field="4294967294" count="1" selected="0">
            <x v="0"/>
          </reference>
          <reference field="3" count="1" selected="0">
            <x v="5"/>
          </reference>
        </references>
      </pivotArea>
    </chartFormat>
    <chartFormat chart="39" format="107">
      <pivotArea type="data" outline="0" fieldPosition="0">
        <references count="2">
          <reference field="4294967294" count="1" selected="0">
            <x v="0"/>
          </reference>
          <reference field="3" count="1" selected="0">
            <x v="6"/>
          </reference>
        </references>
      </pivotArea>
    </chartFormat>
    <chartFormat chart="39" format="108">
      <pivotArea type="data" outline="0" fieldPosition="0">
        <references count="2">
          <reference field="4294967294" count="1" selected="0">
            <x v="0"/>
          </reference>
          <reference field="3" count="1" selected="0">
            <x v="7"/>
          </reference>
        </references>
      </pivotArea>
    </chartFormat>
    <chartFormat chart="39" format="109">
      <pivotArea type="data" outline="0" fieldPosition="0">
        <references count="2">
          <reference field="4294967294" count="1" selected="0">
            <x v="0"/>
          </reference>
          <reference field="3" count="1" selected="0">
            <x v="8"/>
          </reference>
        </references>
      </pivotArea>
    </chartFormat>
    <chartFormat chart="39" format="110">
      <pivotArea type="data" outline="0" fieldPosition="0">
        <references count="2">
          <reference field="4294967294" count="1" selected="0">
            <x v="0"/>
          </reference>
          <reference field="3" count="1" selected="0">
            <x v="9"/>
          </reference>
        </references>
      </pivotArea>
    </chartFormat>
    <chartFormat chart="39" format="111">
      <pivotArea type="data" outline="0" fieldPosition="0">
        <references count="2">
          <reference field="4294967294" count="1" selected="0">
            <x v="0"/>
          </reference>
          <reference field="3" count="1" selected="0">
            <x v="10"/>
          </reference>
        </references>
      </pivotArea>
    </chartFormat>
    <chartFormat chart="5" format="90">
      <pivotArea type="data" outline="0" fieldPosition="0">
        <references count="1">
          <reference field="4294967294" count="1" selected="0">
            <x v="0"/>
          </reference>
        </references>
      </pivotArea>
    </chartFormat>
    <chartFormat chart="39" format="112">
      <pivotArea type="data" outline="0" fieldPosition="0">
        <references count="1">
          <reference field="4294967294" count="1" selected="0">
            <x v="0"/>
          </reference>
        </references>
      </pivotArea>
    </chartFormat>
    <chartFormat chart="5" format="91">
      <pivotArea type="data" outline="0" fieldPosition="0">
        <references count="2">
          <reference field="4294967294" count="1" selected="0">
            <x v="0"/>
          </reference>
          <reference field="3" count="1" selected="0">
            <x v="12"/>
          </reference>
        </references>
      </pivotArea>
    </chartFormat>
    <chartFormat chart="5" format="92">
      <pivotArea type="data" outline="0" fieldPosition="0">
        <references count="2">
          <reference field="4294967294" count="1" selected="0">
            <x v="0"/>
          </reference>
          <reference field="3" count="1" selected="0">
            <x v="13"/>
          </reference>
        </references>
      </pivotArea>
    </chartFormat>
    <chartFormat chart="5" format="93">
      <pivotArea type="data" outline="0" fieldPosition="0">
        <references count="2">
          <reference field="4294967294" count="1" selected="0">
            <x v="0"/>
          </reference>
          <reference field="3" count="1" selected="0">
            <x v="14"/>
          </reference>
        </references>
      </pivotArea>
    </chartFormat>
    <chartFormat chart="5" format="94">
      <pivotArea type="data" outline="0" fieldPosition="0">
        <references count="2">
          <reference field="4294967294" count="1" selected="0">
            <x v="0"/>
          </reference>
          <reference field="3" count="1" selected="0">
            <x v="15"/>
          </reference>
        </references>
      </pivotArea>
    </chartFormat>
    <chartFormat chart="5" format="95">
      <pivotArea type="data" outline="0" fieldPosition="0">
        <references count="2">
          <reference field="4294967294" count="1" selected="0">
            <x v="0"/>
          </reference>
          <reference field="3" count="1" selected="0">
            <x v="16"/>
          </reference>
        </references>
      </pivotArea>
    </chartFormat>
    <chartFormat chart="5" format="96">
      <pivotArea type="data" outline="0" fieldPosition="0">
        <references count="2">
          <reference field="4294967294" count="1" selected="0">
            <x v="0"/>
          </reference>
          <reference field="3" count="1" selected="0">
            <x v="17"/>
          </reference>
        </references>
      </pivotArea>
    </chartFormat>
    <chartFormat chart="5" format="97">
      <pivotArea type="data" outline="0" fieldPosition="0">
        <references count="2">
          <reference field="4294967294" count="1" selected="0">
            <x v="0"/>
          </reference>
          <reference field="3" count="1" selected="0">
            <x v="18"/>
          </reference>
        </references>
      </pivotArea>
    </chartFormat>
    <chartFormat chart="5" format="98">
      <pivotArea type="data" outline="0" fieldPosition="0">
        <references count="2">
          <reference field="4294967294" count="1" selected="0">
            <x v="0"/>
          </reference>
          <reference field="3" count="1" selected="0">
            <x v="19"/>
          </reference>
        </references>
      </pivotArea>
    </chartFormat>
    <chartFormat chart="5" format="99">
      <pivotArea type="data" outline="0" fieldPosition="0">
        <references count="2">
          <reference field="4294967294" count="1" selected="0">
            <x v="0"/>
          </reference>
          <reference field="3" count="1" selected="0">
            <x v="20"/>
          </reference>
        </references>
      </pivotArea>
    </chartFormat>
    <chartFormat chart="5" format="100">
      <pivotArea type="data" outline="0" fieldPosition="0">
        <references count="2">
          <reference field="4294967294" count="1" selected="0">
            <x v="0"/>
          </reference>
          <reference field="3" count="1" selected="0">
            <x v="21"/>
          </reference>
        </references>
      </pivotArea>
    </chartFormat>
    <chartFormat chart="5" format="101">
      <pivotArea type="data" outline="0" fieldPosition="0">
        <references count="2">
          <reference field="4294967294" count="1" selected="0">
            <x v="0"/>
          </reference>
          <reference field="3" count="1" selected="0">
            <x v="22"/>
          </reference>
        </references>
      </pivotArea>
    </chartFormat>
    <chartFormat chart="5" format="102">
      <pivotArea type="data" outline="0" fieldPosition="0">
        <references count="2">
          <reference field="4294967294" count="1" selected="0">
            <x v="0"/>
          </reference>
          <reference field="3" count="1" selected="0">
            <x v="23"/>
          </reference>
        </references>
      </pivotArea>
    </chartFormat>
    <chartFormat chart="5" format="103">
      <pivotArea type="data" outline="0" fieldPosition="0">
        <references count="2">
          <reference field="4294967294" count="1" selected="0">
            <x v="0"/>
          </reference>
          <reference field="3" count="1" selected="0">
            <x v="24"/>
          </reference>
        </references>
      </pivotArea>
    </chartFormat>
    <chartFormat chart="39" format="126">
      <pivotArea type="data" outline="0" fieldPosition="0">
        <references count="2">
          <reference field="4294967294" count="1" selected="0">
            <x v="0"/>
          </reference>
          <reference field="3" count="1" selected="0">
            <x v="12"/>
          </reference>
        </references>
      </pivotArea>
    </chartFormat>
    <chartFormat chart="39" format="127">
      <pivotArea type="data" outline="0" fieldPosition="0">
        <references count="2">
          <reference field="4294967294" count="1" selected="0">
            <x v="0"/>
          </reference>
          <reference field="3" count="1" selected="0">
            <x v="13"/>
          </reference>
        </references>
      </pivotArea>
    </chartFormat>
    <chartFormat chart="39" format="128">
      <pivotArea type="data" outline="0" fieldPosition="0">
        <references count="2">
          <reference field="4294967294" count="1" selected="0">
            <x v="0"/>
          </reference>
          <reference field="3" count="1" selected="0">
            <x v="14"/>
          </reference>
        </references>
      </pivotArea>
    </chartFormat>
    <chartFormat chart="39" format="129">
      <pivotArea type="data" outline="0" fieldPosition="0">
        <references count="2">
          <reference field="4294967294" count="1" selected="0">
            <x v="0"/>
          </reference>
          <reference field="3" count="1" selected="0">
            <x v="15"/>
          </reference>
        </references>
      </pivotArea>
    </chartFormat>
    <chartFormat chart="39" format="130">
      <pivotArea type="data" outline="0" fieldPosition="0">
        <references count="2">
          <reference field="4294967294" count="1" selected="0">
            <x v="0"/>
          </reference>
          <reference field="3" count="1" selected="0">
            <x v="16"/>
          </reference>
        </references>
      </pivotArea>
    </chartFormat>
    <chartFormat chart="39" format="131">
      <pivotArea type="data" outline="0" fieldPosition="0">
        <references count="2">
          <reference field="4294967294" count="1" selected="0">
            <x v="0"/>
          </reference>
          <reference field="3" count="1" selected="0">
            <x v="17"/>
          </reference>
        </references>
      </pivotArea>
    </chartFormat>
    <chartFormat chart="39" format="132">
      <pivotArea type="data" outline="0" fieldPosition="0">
        <references count="2">
          <reference field="4294967294" count="1" selected="0">
            <x v="0"/>
          </reference>
          <reference field="3" count="1" selected="0">
            <x v="18"/>
          </reference>
        </references>
      </pivotArea>
    </chartFormat>
    <chartFormat chart="39" format="133">
      <pivotArea type="data" outline="0" fieldPosition="0">
        <references count="2">
          <reference field="4294967294" count="1" selected="0">
            <x v="0"/>
          </reference>
          <reference field="3" count="1" selected="0">
            <x v="19"/>
          </reference>
        </references>
      </pivotArea>
    </chartFormat>
    <chartFormat chart="39" format="134">
      <pivotArea type="data" outline="0" fieldPosition="0">
        <references count="2">
          <reference field="4294967294" count="1" selected="0">
            <x v="0"/>
          </reference>
          <reference field="3" count="1" selected="0">
            <x v="20"/>
          </reference>
        </references>
      </pivotArea>
    </chartFormat>
    <chartFormat chart="39" format="135">
      <pivotArea type="data" outline="0" fieldPosition="0">
        <references count="2">
          <reference field="4294967294" count="1" selected="0">
            <x v="0"/>
          </reference>
          <reference field="3" count="1" selected="0">
            <x v="21"/>
          </reference>
        </references>
      </pivotArea>
    </chartFormat>
    <chartFormat chart="39" format="136">
      <pivotArea type="data" outline="0" fieldPosition="0">
        <references count="2">
          <reference field="4294967294" count="1" selected="0">
            <x v="0"/>
          </reference>
          <reference field="3" count="1" selected="0">
            <x v="22"/>
          </reference>
        </references>
      </pivotArea>
    </chartFormat>
    <chartFormat chart="39" format="137">
      <pivotArea type="data" outline="0" fieldPosition="0">
        <references count="2">
          <reference field="4294967294" count="1" selected="0">
            <x v="0"/>
          </reference>
          <reference field="3" count="1" selected="0">
            <x v="23"/>
          </reference>
        </references>
      </pivotArea>
    </chartFormat>
    <chartFormat chart="39" format="138">
      <pivotArea type="data" outline="0" fieldPosition="0">
        <references count="2">
          <reference field="4294967294" count="1" selected="0">
            <x v="0"/>
          </reference>
          <reference field="3" count="1" selected="0">
            <x v="24"/>
          </reference>
        </references>
      </pivotArea>
    </chartFormat>
    <chartFormat chart="5" format="104">
      <pivotArea type="data" outline="0" fieldPosition="0">
        <references count="2">
          <reference field="4294967294" count="1" selected="0">
            <x v="0"/>
          </reference>
          <reference field="3" count="1" selected="0">
            <x v="25"/>
          </reference>
        </references>
      </pivotArea>
    </chartFormat>
    <chartFormat chart="39" format="139">
      <pivotArea type="data" outline="0" fieldPosition="0">
        <references count="2">
          <reference field="4294967294" count="1" selected="0">
            <x v="0"/>
          </reference>
          <reference field="3" count="1" selected="0">
            <x v="25"/>
          </reference>
        </references>
      </pivotArea>
    </chartFormat>
    <chartFormat chart="5" format="105">
      <pivotArea type="data" outline="0" fieldPosition="0">
        <references count="2">
          <reference field="4294967294" count="1" selected="0">
            <x v="0"/>
          </reference>
          <reference field="3" count="1" selected="0">
            <x v="26"/>
          </reference>
        </references>
      </pivotArea>
    </chartFormat>
    <chartFormat chart="39" format="140">
      <pivotArea type="data" outline="0" fieldPosition="0">
        <references count="2">
          <reference field="4294967294" count="1" selected="0">
            <x v="0"/>
          </reference>
          <reference field="3" count="1" selected="0">
            <x v="26"/>
          </reference>
        </references>
      </pivotArea>
    </chartFormat>
    <chartFormat chart="39" format="141">
      <pivotArea type="data" outline="0" fieldPosition="0">
        <references count="2">
          <reference field="4294967294" count="1" selected="0">
            <x v="0"/>
          </reference>
          <reference field="3" count="1" selected="0">
            <x v="27"/>
          </reference>
        </references>
      </pivotArea>
    </chartFormat>
    <chartFormat chart="39" format="142">
      <pivotArea type="data" outline="0" fieldPosition="0">
        <references count="2">
          <reference field="4294967294" count="1" selected="0">
            <x v="0"/>
          </reference>
          <reference field="3" count="1" selected="0">
            <x v="28"/>
          </reference>
        </references>
      </pivotArea>
    </chartFormat>
    <chartFormat chart="39" format="143">
      <pivotArea type="data" outline="0" fieldPosition="0">
        <references count="2">
          <reference field="4294967294" count="1" selected="0">
            <x v="0"/>
          </reference>
          <reference field="3" count="1" selected="0">
            <x v="29"/>
          </reference>
        </references>
      </pivotArea>
    </chartFormat>
    <chartFormat chart="5" format="106">
      <pivotArea type="data" outline="0" fieldPosition="0">
        <references count="2">
          <reference field="4294967294" count="1" selected="0">
            <x v="0"/>
          </reference>
          <reference field="3" count="1" selected="0">
            <x v="27"/>
          </reference>
        </references>
      </pivotArea>
    </chartFormat>
    <chartFormat chart="5" format="107">
      <pivotArea type="data" outline="0" fieldPosition="0">
        <references count="2">
          <reference field="4294967294" count="1" selected="0">
            <x v="0"/>
          </reference>
          <reference field="3" count="1" selected="0">
            <x v="28"/>
          </reference>
        </references>
      </pivotArea>
    </chartFormat>
    <chartFormat chart="5" format="108">
      <pivotArea type="data" outline="0" fieldPosition="0">
        <references count="2">
          <reference field="4294967294" count="1" selected="0">
            <x v="0"/>
          </reference>
          <reference field="3" count="1" selected="0">
            <x v="29"/>
          </reference>
        </references>
      </pivotArea>
    </chartFormat>
    <chartFormat chart="5" format="109">
      <pivotArea type="data" outline="0" fieldPosition="0">
        <references count="2">
          <reference field="4294967294" count="1" selected="0">
            <x v="0"/>
          </reference>
          <reference field="3" count="1" selected="0">
            <x v="30"/>
          </reference>
        </references>
      </pivotArea>
    </chartFormat>
    <chartFormat chart="39" format="144">
      <pivotArea type="data" outline="0" fieldPosition="0">
        <references count="2">
          <reference field="4294967294" count="1" selected="0">
            <x v="0"/>
          </reference>
          <reference field="3" count="1" selected="0">
            <x v="30"/>
          </reference>
        </references>
      </pivotArea>
    </chartFormat>
  </chartFormats>
  <pivotTableStyleInfo name="PivotStyleLight16" showRowHeaders="1" showColHeaders="1" showRowStripes="0" showColStripes="0" showLastColumn="1"/>
  <filters count="3">
    <filter fld="0" type="dateBetween" evalOrder="-1" id="2657" name="FECHA">
      <autoFilter ref="A1">
        <filterColumn colId="0">
          <customFilters and="1">
            <customFilter operator="greaterThanOrEqual" val="45931"/>
            <customFilter operator="lessThanOrEqual" val="45961"/>
          </customFilters>
        </filterColumn>
      </autoFilter>
      <extLst>
        <ext xmlns:x15="http://schemas.microsoft.com/office/spreadsheetml/2010/11/main" uri="{0605FD5F-26C8-4aeb-8148-2DB25E43C511}">
          <x15:pivotFilter useWholeDay="1"/>
        </ext>
      </extLst>
    </filter>
    <filter fld="3" type="valueNotEqual" evalOrder="-1" id="1792" iMeasureFld="0">
      <autoFilter ref="A1">
        <filterColumn colId="0">
          <customFilters>
            <customFilter operator="notEqual" val="0"/>
          </customFilters>
        </filterColumn>
      </autoFilter>
    </filter>
    <filter fld="2" type="valueNotEqual" evalOrder="-1" id="1793"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TIPO" sourceName="TIPO">
  <pivotTables>
    <pivotTable tabId="2" name="Tabela dinâmica1"/>
    <pivotTable tabId="3" name="Tabela dinâmica1"/>
    <pivotTable tabId="1" name="Tabela dinâmica1"/>
  </pivotTables>
  <data>
    <tabular pivotCacheId="459184528">
      <items count="3">
        <i x="1" s="1" nd="1"/>
        <i x="2" s="1" nd="1"/>
        <i x="0"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CATEGORÍA" sourceName="CATEGORÍA">
  <pivotTables>
    <pivotTable tabId="2" name="Tabela dinâmica1"/>
    <pivotTable tabId="3" name="Tabela dinâmica1"/>
    <pivotTable tabId="1" name="Tabela dinâmica1"/>
  </pivotTables>
  <data>
    <tabular pivotCacheId="459184528">
      <items count="31">
        <i x="26" s="1" nd="1"/>
        <i x="27" s="1" nd="1"/>
        <i x="8" s="1" nd="1"/>
        <i x="5" s="1" nd="1"/>
        <i x="25" s="1" nd="1"/>
        <i x="24" s="1" nd="1"/>
        <i x="9" s="1" nd="1"/>
        <i x="1" s="1" nd="1"/>
        <i x="30" s="1" nd="1"/>
        <i x="29" s="1" nd="1"/>
        <i x="21" s="1" nd="1"/>
        <i x="7" s="1" nd="1"/>
        <i x="15" s="1" nd="1"/>
        <i x="6" s="1" nd="1"/>
        <i x="14" s="1" nd="1"/>
        <i x="28" s="1" nd="1"/>
        <i x="12" s="1" nd="1"/>
        <i x="22" s="1" nd="1"/>
        <i x="17" s="1" nd="1"/>
        <i x="19" s="1" nd="1"/>
        <i x="20" s="1" nd="1"/>
        <i x="10" s="1" nd="1"/>
        <i x="23" s="1" nd="1"/>
        <i x="13" s="1" nd="1"/>
        <i x="16" s="1" nd="1"/>
        <i x="2" s="1" nd="1"/>
        <i x="18" s="1" nd="1"/>
        <i x="3" s="1" nd="1"/>
        <i x="4" s="1" nd="1"/>
        <i x="11" s="1" nd="1"/>
        <i x="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IPO" cache="SegmentaçãodeDados_TIPO" caption="TIPO" columnCount="2" style="SlicerStyleLight3 2" rowHeight="324000"/>
  <slicer name="CATEGORÍA" cache="SegmentaçãodeDados_CATEGORÍA" caption="CATEGORÍA" style="SlicerStyleLight3 2" rowHeight="257175"/>
</slicers>
</file>

<file path=xl/tables/table1.xml><?xml version="1.0" encoding="utf-8"?>
<table xmlns="http://schemas.openxmlformats.org/spreadsheetml/2006/main" id="1" name="Table1" displayName="Table1" ref="B13:F583" totalsRowShown="0" headerRowDxfId="8" headerRowBorderDxfId="7" tableBorderDxfId="6" totalsRowBorderDxfId="5">
  <sortState ref="B13:F13">
    <sortCondition descending="1" ref="B13"/>
  </sortState>
  <tableColumns count="5">
    <tableColumn id="1" name="FECHA" dataDxfId="4"/>
    <tableColumn id="2" name="DESCRIPCIÓN" dataDxfId="3"/>
    <tableColumn id="3" name="TIPO" dataDxfId="2"/>
    <tableColumn id="4" name="CATEGORÍA" dataDxfId="1"/>
    <tableColumn id="5" name="MONTO" dataDxfId="0"/>
  </tableColumns>
  <tableStyleInfo name="TableStyleLight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imelineCaches/timelineCache1.xml><?xml version="1.0" encoding="utf-8"?>
<timelineCacheDefinition xmlns="http://schemas.microsoft.com/office/spreadsheetml/2010/11/main" xmlns:x15="http://schemas.microsoft.com/office/spreadsheetml/2010/11/main" name="NativeTimeline_FECHA" sourceName="FECHA">
  <pivotTables>
    <pivotTable tabId="2" name="Tabela dinâmica1"/>
    <pivotTable tabId="3" name="Tabela dinâmica1"/>
    <pivotTable tabId="1" name="Tabela dinâmica1"/>
  </pivotTables>
  <state minimalRefreshVersion="6" lastRefreshVersion="6" pivotCacheId="459184528" filterType="dateBetween">
    <selection startDate="2025-10-01T00:00:00" endDate="2025-10-31T00:00:00"/>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FECHA" cache="NativeTimeline_FECHA" caption="FECHA" showHeader="0" showHorizontalScrollbar="0" level="2" selectionLevel="2" scrollPosition="2025-01-01T00:00:00" style="Estilo de Linha do Tempo 1"/>
</timeline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excelplantilla.soporte@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drawing" Target="../drawings/drawing2.xml"/><Relationship Id="rId1" Type="http://schemas.openxmlformats.org/officeDocument/2006/relationships/pivotTable" Target="../pivotTables/pivotTable1.xml"/><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
  <dimension ref="B1:B15"/>
  <sheetViews>
    <sheetView showGridLines="0" workbookViewId="0"/>
  </sheetViews>
  <sheetFormatPr baseColWidth="10" defaultColWidth="9.1640625" defaultRowHeight="14"/>
  <cols>
    <col min="1" max="1" width="16.4140625" style="1" customWidth="1"/>
    <col min="2" max="2" width="133.4140625" style="1" customWidth="1"/>
    <col min="3" max="16384" width="9.1640625" style="1"/>
  </cols>
  <sheetData>
    <row r="1" spans="2:2" ht="12.75" customHeight="1" thickBot="1"/>
    <row r="2" spans="2:2" ht="39" customHeight="1">
      <c r="B2" s="7" t="s">
        <v>1</v>
      </c>
    </row>
    <row r="3" spans="2:2" ht="20">
      <c r="B3" s="11" t="s">
        <v>2</v>
      </c>
    </row>
    <row r="4" spans="2:2" ht="50.25" customHeight="1">
      <c r="B4" s="8" t="s">
        <v>22</v>
      </c>
    </row>
    <row r="5" spans="2:2" ht="20">
      <c r="B5" s="9" t="s">
        <v>3</v>
      </c>
    </row>
    <row r="6" spans="2:2" ht="187.5" customHeight="1">
      <c r="B6" s="8" t="s">
        <v>23</v>
      </c>
    </row>
    <row r="7" spans="2:2" ht="20">
      <c r="B7" s="9" t="s">
        <v>4</v>
      </c>
    </row>
    <row r="8" spans="2:2" ht="15" customHeight="1">
      <c r="B8" s="10" t="s">
        <v>5</v>
      </c>
    </row>
    <row r="9" spans="2:2">
      <c r="B9" s="41" t="s">
        <v>25</v>
      </c>
    </row>
    <row r="10" spans="2:2" ht="18.75" customHeight="1">
      <c r="B10" s="33" t="s">
        <v>6</v>
      </c>
    </row>
    <row r="11" spans="2:2" ht="20">
      <c r="B11" s="9" t="s">
        <v>7</v>
      </c>
    </row>
    <row r="12" spans="2:2" ht="42">
      <c r="B12" s="33" t="s">
        <v>9</v>
      </c>
    </row>
    <row r="13" spans="2:2" ht="33" customHeight="1" thickBot="1">
      <c r="B13" s="34" t="s">
        <v>8</v>
      </c>
    </row>
    <row r="14" spans="2:2" ht="55.5" customHeight="1"/>
    <row r="15" spans="2:2" ht="24.75" customHeight="1"/>
  </sheetData>
  <sheetProtection algorithmName="SHA-512" hashValue="euDwP3dQ5kQGH4BmimdF08NPgDVPKrbHblDjngky3jEqpH51tuB/R2T17JqO01aw7aY6QP99ynymQwq5GccBMA==" saltValue="QNH9NyrjeusrUQY+rd2Zdw==" spinCount="100000" sheet="1" objects="1" scenarios="1"/>
  <hyperlinks>
    <hyperlink ref="B9" r:id="rId1"/>
  </hyperlinks>
  <pageMargins left="0.511811024" right="0.511811024" top="0.78740157499999996" bottom="0.78740157499999996" header="0.31496062000000002" footer="0.31496062000000002"/>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
  <dimension ref="B1:Z583"/>
  <sheetViews>
    <sheetView showGridLines="0" tabSelected="1" topLeftCell="A2" zoomScaleNormal="100" workbookViewId="0">
      <selection activeCell="B8" sqref="B8"/>
    </sheetView>
  </sheetViews>
  <sheetFormatPr baseColWidth="10" defaultColWidth="9.1640625" defaultRowHeight="14"/>
  <cols>
    <col min="1" max="1" width="2" style="12" customWidth="1"/>
    <col min="2" max="2" width="13.1640625" style="40" customWidth="1"/>
    <col min="3" max="3" width="32.83203125" style="28" bestFit="1" customWidth="1"/>
    <col min="4" max="4" width="9.4140625" style="28" customWidth="1"/>
    <col min="5" max="5" width="23.4140625" style="28" bestFit="1" customWidth="1"/>
    <col min="6" max="6" width="18.58203125" style="60" bestFit="1" customWidth="1"/>
    <col min="7" max="7" width="2.1640625" style="12" customWidth="1"/>
    <col min="8" max="9" width="17.75" style="12" hidden="1" customWidth="1"/>
    <col min="10" max="10" width="2.1640625" style="12" customWidth="1"/>
    <col min="11" max="21" width="9.75" style="12" customWidth="1"/>
    <col min="22" max="22" width="3" style="12" customWidth="1"/>
    <col min="23" max="23" width="2.1640625" style="12" customWidth="1"/>
    <col min="24" max="24" width="6.4140625" style="12" customWidth="1"/>
    <col min="25" max="25" width="15.58203125" style="37" customWidth="1"/>
    <col min="26" max="16384" width="9.1640625" style="12"/>
  </cols>
  <sheetData>
    <row r="1" spans="2:26" ht="14.5" thickBot="1">
      <c r="B1" s="12"/>
      <c r="C1" s="12"/>
      <c r="D1" s="12"/>
      <c r="E1" s="12"/>
      <c r="F1" s="52"/>
    </row>
    <row r="2" spans="2:26">
      <c r="B2" s="13"/>
      <c r="C2" s="14"/>
      <c r="D2" s="14"/>
      <c r="E2" s="14"/>
      <c r="F2" s="53"/>
      <c r="K2" s="15"/>
      <c r="L2" s="16"/>
      <c r="M2" s="16"/>
      <c r="N2" s="16"/>
      <c r="O2" s="16"/>
      <c r="P2" s="16"/>
      <c r="Q2" s="16"/>
      <c r="R2" s="16"/>
      <c r="S2" s="16"/>
      <c r="T2" s="16"/>
      <c r="U2" s="16"/>
      <c r="V2" s="17"/>
      <c r="W2"/>
      <c r="X2" s="35" t="s">
        <v>0</v>
      </c>
      <c r="Y2" s="38" t="s">
        <v>24</v>
      </c>
      <c r="Z2"/>
    </row>
    <row r="3" spans="2:26">
      <c r="B3" s="18"/>
      <c r="C3" s="19"/>
      <c r="D3" s="19"/>
      <c r="E3" s="19"/>
      <c r="F3" s="54"/>
      <c r="K3" s="20"/>
      <c r="L3" s="21"/>
      <c r="M3" s="21"/>
      <c r="N3" s="21"/>
      <c r="O3" s="21"/>
      <c r="P3" s="21"/>
      <c r="Q3" s="21"/>
      <c r="R3" s="21"/>
      <c r="S3" s="21"/>
      <c r="T3" s="21"/>
      <c r="U3" s="21"/>
      <c r="V3" s="22"/>
      <c r="W3"/>
      <c r="X3"/>
      <c r="Y3"/>
      <c r="Z3"/>
    </row>
    <row r="4" spans="2:26">
      <c r="B4" s="18"/>
      <c r="C4" s="19"/>
      <c r="D4" s="19"/>
      <c r="E4" s="19"/>
      <c r="F4" s="54"/>
      <c r="K4" s="20"/>
      <c r="L4" s="21"/>
      <c r="M4" s="21"/>
      <c r="N4" s="21"/>
      <c r="O4" s="21"/>
      <c r="P4" s="21"/>
      <c r="Q4" s="21"/>
      <c r="R4" s="21"/>
      <c r="S4" s="21"/>
      <c r="T4" s="21"/>
      <c r="U4" s="21"/>
      <c r="V4" s="22"/>
      <c r="W4"/>
      <c r="X4"/>
      <c r="Y4"/>
      <c r="Z4"/>
    </row>
    <row r="5" spans="2:26">
      <c r="B5" s="18"/>
      <c r="C5" s="19"/>
      <c r="D5" s="19"/>
      <c r="E5" s="19"/>
      <c r="F5" s="54"/>
      <c r="K5" s="20"/>
      <c r="L5" s="21"/>
      <c r="M5" s="21"/>
      <c r="N5" s="21"/>
      <c r="O5" s="21"/>
      <c r="P5" s="21"/>
      <c r="Q5" s="21"/>
      <c r="R5" s="21"/>
      <c r="S5" s="21"/>
      <c r="T5" s="21"/>
      <c r="U5" s="21"/>
      <c r="V5" s="22"/>
      <c r="W5"/>
      <c r="X5"/>
      <c r="Y5"/>
      <c r="Z5"/>
    </row>
    <row r="6" spans="2:26">
      <c r="B6" s="18"/>
      <c r="C6" s="19"/>
      <c r="D6" s="19"/>
      <c r="E6" s="19"/>
      <c r="F6" s="54"/>
      <c r="K6" s="20"/>
      <c r="L6" s="21"/>
      <c r="M6" s="21"/>
      <c r="N6" s="21"/>
      <c r="O6" s="21"/>
      <c r="P6" s="21"/>
      <c r="Q6" s="21"/>
      <c r="R6" s="21"/>
      <c r="S6" s="21"/>
      <c r="T6" s="21"/>
      <c r="U6" s="21"/>
      <c r="V6" s="22"/>
      <c r="W6"/>
      <c r="X6"/>
      <c r="Y6"/>
      <c r="Z6"/>
    </row>
    <row r="7" spans="2:26">
      <c r="B7" s="23" t="s">
        <v>10</v>
      </c>
      <c r="C7" s="24" t="s">
        <v>11</v>
      </c>
      <c r="D7" s="24" t="s">
        <v>12</v>
      </c>
      <c r="E7" s="24" t="s">
        <v>13</v>
      </c>
      <c r="F7" s="55" t="s">
        <v>14</v>
      </c>
      <c r="K7" s="20"/>
      <c r="L7" s="21"/>
      <c r="M7" s="21"/>
      <c r="N7" s="21"/>
      <c r="O7" s="21"/>
      <c r="P7" s="21"/>
      <c r="Q7" s="21"/>
      <c r="R7" s="21"/>
      <c r="S7" s="21"/>
      <c r="T7" s="21"/>
      <c r="U7" s="21"/>
      <c r="V7" s="22"/>
      <c r="W7"/>
      <c r="X7"/>
      <c r="Y7"/>
      <c r="Z7"/>
    </row>
    <row r="8" spans="2:26" ht="20.25" customHeight="1">
      <c r="B8" s="39"/>
      <c r="C8" s="25"/>
      <c r="D8" s="26"/>
      <c r="E8" s="26"/>
      <c r="F8" s="56"/>
      <c r="K8" s="20"/>
      <c r="L8" s="21"/>
      <c r="M8" s="21"/>
      <c r="N8" s="21"/>
      <c r="O8" s="21"/>
      <c r="P8" s="21"/>
      <c r="Q8" s="21"/>
      <c r="R8" s="21"/>
      <c r="S8" s="21"/>
      <c r="T8" s="21"/>
      <c r="U8" s="21"/>
      <c r="V8" s="22"/>
      <c r="W8"/>
      <c r="X8"/>
      <c r="Y8"/>
      <c r="Z8"/>
    </row>
    <row r="9" spans="2:26">
      <c r="B9" s="27"/>
      <c r="C9" s="19"/>
      <c r="D9" s="19"/>
      <c r="E9" s="19"/>
      <c r="F9" s="54"/>
      <c r="K9" s="20"/>
      <c r="L9" s="21"/>
      <c r="M9" s="21"/>
      <c r="N9" s="21"/>
      <c r="O9" s="21"/>
      <c r="P9" s="21"/>
      <c r="Q9" s="21"/>
      <c r="R9" s="21"/>
      <c r="S9" s="21"/>
      <c r="T9" s="21"/>
      <c r="U9" s="21"/>
      <c r="V9" s="22"/>
      <c r="W9"/>
      <c r="X9"/>
      <c r="Y9"/>
      <c r="Z9"/>
    </row>
    <row r="10" spans="2:26">
      <c r="B10" s="27"/>
      <c r="C10" s="19"/>
      <c r="D10" s="19"/>
      <c r="E10" s="19"/>
      <c r="F10" s="54"/>
      <c r="K10" s="20"/>
      <c r="L10" s="21"/>
      <c r="M10" s="21"/>
      <c r="N10" s="21"/>
      <c r="O10" s="21"/>
      <c r="P10" s="21"/>
      <c r="Q10" s="21"/>
      <c r="R10" s="21"/>
      <c r="S10" s="21"/>
      <c r="T10" s="21"/>
      <c r="U10" s="21"/>
      <c r="V10" s="22"/>
      <c r="W10"/>
      <c r="X10"/>
      <c r="Y10"/>
      <c r="Z10"/>
    </row>
    <row r="11" spans="2:26">
      <c r="B11" s="27"/>
      <c r="C11" s="19"/>
      <c r="D11" s="19"/>
      <c r="E11" s="19"/>
      <c r="F11" s="54"/>
      <c r="K11" s="20"/>
      <c r="L11" s="21"/>
      <c r="M11" s="21"/>
      <c r="N11" s="21"/>
      <c r="O11" s="21"/>
      <c r="P11" s="21"/>
      <c r="Q11" s="21"/>
      <c r="R11" s="21"/>
      <c r="S11" s="21"/>
      <c r="T11" s="21"/>
      <c r="U11" s="21"/>
      <c r="V11" s="22"/>
      <c r="W11"/>
      <c r="X11"/>
      <c r="Y11"/>
      <c r="Z11"/>
    </row>
    <row r="12" spans="2:26">
      <c r="B12" s="27"/>
      <c r="C12" s="19"/>
      <c r="D12" s="19"/>
      <c r="E12" s="19"/>
      <c r="F12" s="54"/>
      <c r="K12" s="20"/>
      <c r="L12" s="21"/>
      <c r="M12" s="21"/>
      <c r="N12" s="21"/>
      <c r="O12" s="21"/>
      <c r="P12" s="21"/>
      <c r="Q12" s="21"/>
      <c r="R12" s="21"/>
      <c r="S12" s="21"/>
      <c r="T12" s="21"/>
      <c r="U12" s="21"/>
      <c r="V12" s="22"/>
      <c r="W12"/>
      <c r="X12"/>
      <c r="Y12"/>
      <c r="Z12"/>
    </row>
    <row r="13" spans="2:26">
      <c r="B13" s="43" t="s">
        <v>15</v>
      </c>
      <c r="C13" s="44" t="s">
        <v>16</v>
      </c>
      <c r="D13" s="44" t="s">
        <v>17</v>
      </c>
      <c r="E13" s="44" t="s">
        <v>18</v>
      </c>
      <c r="F13" s="57" t="s">
        <v>19</v>
      </c>
      <c r="K13" s="20"/>
      <c r="L13" s="21"/>
      <c r="M13" s="21"/>
      <c r="N13" s="21"/>
      <c r="O13" s="21"/>
      <c r="P13" s="21"/>
      <c r="Q13" s="21"/>
      <c r="R13" s="21"/>
      <c r="S13" s="21"/>
      <c r="T13" s="21"/>
      <c r="U13" s="21"/>
      <c r="V13" s="22"/>
      <c r="W13"/>
      <c r="X13"/>
      <c r="Y13"/>
      <c r="Z13"/>
    </row>
    <row r="14" spans="2:26">
      <c r="B14" s="42"/>
      <c r="D14" s="26"/>
      <c r="E14" s="26"/>
      <c r="F14" s="58"/>
      <c r="K14" s="20"/>
      <c r="L14" s="21"/>
      <c r="M14" s="21"/>
      <c r="N14" s="21"/>
      <c r="O14" s="21"/>
      <c r="P14" s="21"/>
      <c r="Q14" s="21"/>
      <c r="R14" s="21"/>
      <c r="S14" s="21"/>
      <c r="T14" s="21"/>
      <c r="U14" s="21"/>
      <c r="V14" s="22"/>
      <c r="W14"/>
      <c r="X14"/>
      <c r="Y14"/>
      <c r="Z14"/>
    </row>
    <row r="15" spans="2:26">
      <c r="B15" s="42"/>
      <c r="D15" s="26"/>
      <c r="E15" s="26"/>
      <c r="F15" s="58"/>
      <c r="K15" s="20"/>
      <c r="L15" s="21"/>
      <c r="M15" s="21"/>
      <c r="N15" s="21"/>
      <c r="O15" s="21"/>
      <c r="P15" s="21"/>
      <c r="Q15" s="21"/>
      <c r="R15" s="21"/>
      <c r="S15" s="21"/>
      <c r="T15" s="21"/>
      <c r="U15" s="21"/>
      <c r="V15" s="22"/>
      <c r="W15"/>
      <c r="X15"/>
      <c r="Y15"/>
      <c r="Z15"/>
    </row>
    <row r="16" spans="2:26">
      <c r="B16" s="42"/>
      <c r="D16" s="26"/>
      <c r="E16" s="26"/>
      <c r="F16" s="58"/>
      <c r="K16" s="20"/>
      <c r="L16" s="21"/>
      <c r="M16" s="21"/>
      <c r="N16" s="21"/>
      <c r="O16" s="21"/>
      <c r="P16" s="21"/>
      <c r="Q16" s="21"/>
      <c r="R16" s="21"/>
      <c r="S16" s="21"/>
      <c r="T16" s="21"/>
      <c r="U16" s="21"/>
      <c r="V16" s="22"/>
      <c r="W16"/>
      <c r="X16"/>
      <c r="Y16"/>
      <c r="Z16"/>
    </row>
    <row r="17" spans="2:26">
      <c r="B17" s="42"/>
      <c r="D17" s="26"/>
      <c r="E17" s="26"/>
      <c r="F17" s="58"/>
      <c r="K17" s="20"/>
      <c r="L17" s="21"/>
      <c r="M17" s="21"/>
      <c r="N17" s="21"/>
      <c r="O17" s="21"/>
      <c r="P17" s="21"/>
      <c r="Q17" s="21"/>
      <c r="R17" s="21"/>
      <c r="S17" s="21"/>
      <c r="T17" s="21"/>
      <c r="U17" s="21"/>
      <c r="V17" s="22"/>
      <c r="W17"/>
      <c r="X17"/>
      <c r="Y17"/>
      <c r="Z17"/>
    </row>
    <row r="18" spans="2:26">
      <c r="B18" s="42"/>
      <c r="D18" s="26"/>
      <c r="E18" s="26"/>
      <c r="F18" s="58"/>
      <c r="K18" s="20"/>
      <c r="L18" s="21"/>
      <c r="M18" s="21"/>
      <c r="N18" s="21"/>
      <c r="O18" s="21"/>
      <c r="P18" s="21"/>
      <c r="Q18" s="21"/>
      <c r="R18" s="21"/>
      <c r="S18" s="21"/>
      <c r="T18" s="21"/>
      <c r="U18" s="21"/>
      <c r="V18" s="22"/>
      <c r="W18"/>
      <c r="X18"/>
      <c r="Y18"/>
      <c r="Z18"/>
    </row>
    <row r="19" spans="2:26">
      <c r="B19" s="42"/>
      <c r="D19" s="26"/>
      <c r="E19" s="26"/>
      <c r="F19" s="58"/>
      <c r="K19" s="20"/>
      <c r="L19" s="21"/>
      <c r="M19" s="21"/>
      <c r="N19" s="21"/>
      <c r="O19" s="21"/>
      <c r="P19" s="21"/>
      <c r="Q19" s="21"/>
      <c r="R19" s="21"/>
      <c r="S19" s="21"/>
      <c r="T19" s="21"/>
      <c r="U19" s="21"/>
      <c r="V19" s="22"/>
      <c r="W19"/>
      <c r="X19"/>
      <c r="Y19"/>
      <c r="Z19"/>
    </row>
    <row r="20" spans="2:26">
      <c r="B20" s="42"/>
      <c r="D20" s="26"/>
      <c r="E20" s="26"/>
      <c r="F20" s="58"/>
      <c r="K20" s="20"/>
      <c r="L20" s="21"/>
      <c r="M20" s="21"/>
      <c r="N20" s="21"/>
      <c r="O20" s="21"/>
      <c r="P20" s="21"/>
      <c r="Q20" s="21"/>
      <c r="R20" s="21"/>
      <c r="S20" s="21"/>
      <c r="T20" s="21"/>
      <c r="U20" s="21"/>
      <c r="V20" s="22"/>
      <c r="W20"/>
      <c r="X20"/>
      <c r="Y20"/>
    </row>
    <row r="21" spans="2:26">
      <c r="B21" s="42"/>
      <c r="D21" s="26"/>
      <c r="E21" s="26"/>
      <c r="F21" s="58"/>
      <c r="K21" s="20"/>
      <c r="L21" s="21"/>
      <c r="M21" s="21"/>
      <c r="N21" s="21"/>
      <c r="O21" s="21"/>
      <c r="P21" s="21"/>
      <c r="Q21" s="21"/>
      <c r="R21" s="21"/>
      <c r="S21" s="21"/>
      <c r="T21" s="21"/>
      <c r="U21" s="21"/>
      <c r="V21" s="22"/>
      <c r="W21"/>
      <c r="X21"/>
      <c r="Y21"/>
    </row>
    <row r="22" spans="2:26">
      <c r="B22" s="42"/>
      <c r="D22" s="26"/>
      <c r="E22" s="26"/>
      <c r="F22" s="58"/>
      <c r="K22" s="20"/>
      <c r="L22" s="21"/>
      <c r="M22" s="21"/>
      <c r="N22" s="21"/>
      <c r="O22" s="21"/>
      <c r="P22" s="21"/>
      <c r="Q22" s="21"/>
      <c r="R22" s="21"/>
      <c r="S22" s="21"/>
      <c r="T22" s="21"/>
      <c r="U22" s="21"/>
      <c r="V22" s="22"/>
      <c r="W22"/>
      <c r="X22"/>
      <c r="Y22"/>
    </row>
    <row r="23" spans="2:26">
      <c r="B23" s="42"/>
      <c r="D23" s="26"/>
      <c r="E23" s="26"/>
      <c r="F23" s="58"/>
      <c r="K23" s="20"/>
      <c r="L23" s="21"/>
      <c r="M23" s="21"/>
      <c r="N23" s="21"/>
      <c r="O23" s="21"/>
      <c r="P23" s="21"/>
      <c r="Q23" s="21"/>
      <c r="R23" s="21"/>
      <c r="S23" s="21"/>
      <c r="T23" s="21"/>
      <c r="U23" s="21"/>
      <c r="V23" s="22"/>
      <c r="W23"/>
      <c r="X23"/>
      <c r="Y23"/>
    </row>
    <row r="24" spans="2:26">
      <c r="B24" s="42"/>
      <c r="D24" s="26"/>
      <c r="E24" s="26"/>
      <c r="F24" s="58"/>
      <c r="K24" s="20"/>
      <c r="L24" s="21"/>
      <c r="M24" s="21"/>
      <c r="N24" s="21"/>
      <c r="O24" s="21"/>
      <c r="P24" s="21"/>
      <c r="Q24" s="21"/>
      <c r="R24" s="21"/>
      <c r="S24" s="21"/>
      <c r="T24" s="21"/>
      <c r="U24" s="21"/>
      <c r="V24" s="22"/>
      <c r="W24"/>
      <c r="X24"/>
      <c r="Y24"/>
    </row>
    <row r="25" spans="2:26">
      <c r="B25" s="42"/>
      <c r="D25" s="26"/>
      <c r="E25" s="26"/>
      <c r="F25" s="58"/>
      <c r="K25" s="20"/>
      <c r="L25" s="21"/>
      <c r="M25" s="21"/>
      <c r="N25" s="21"/>
      <c r="O25" s="21"/>
      <c r="P25" s="21"/>
      <c r="Q25" s="21"/>
      <c r="R25" s="21"/>
      <c r="S25" s="21"/>
      <c r="T25" s="21"/>
      <c r="U25" s="21"/>
      <c r="V25" s="22"/>
      <c r="W25"/>
      <c r="X25"/>
      <c r="Y25"/>
    </row>
    <row r="26" spans="2:26">
      <c r="B26" s="42"/>
      <c r="D26" s="26"/>
      <c r="E26" s="26"/>
      <c r="F26" s="58"/>
      <c r="K26" s="20"/>
      <c r="L26" s="21"/>
      <c r="M26" s="21"/>
      <c r="N26" s="21"/>
      <c r="O26" s="21"/>
      <c r="P26" s="21"/>
      <c r="Q26" s="21"/>
      <c r="R26" s="21"/>
      <c r="S26" s="21"/>
      <c r="T26" s="21"/>
      <c r="U26" s="21"/>
      <c r="V26" s="22"/>
      <c r="W26"/>
      <c r="X26"/>
      <c r="Y26"/>
    </row>
    <row r="27" spans="2:26">
      <c r="B27" s="42"/>
      <c r="D27" s="26"/>
      <c r="E27" s="26"/>
      <c r="F27" s="58"/>
      <c r="K27" s="20"/>
      <c r="L27" s="21"/>
      <c r="M27" s="21"/>
      <c r="N27" s="21"/>
      <c r="O27" s="21"/>
      <c r="P27" s="21"/>
      <c r="Q27" s="21"/>
      <c r="R27" s="21"/>
      <c r="S27" s="21"/>
      <c r="T27" s="21"/>
      <c r="U27" s="21"/>
      <c r="V27" s="22"/>
      <c r="W27"/>
      <c r="X27"/>
      <c r="Y27"/>
    </row>
    <row r="28" spans="2:26">
      <c r="B28" s="42"/>
      <c r="D28" s="26"/>
      <c r="E28" s="26"/>
      <c r="F28" s="58"/>
      <c r="K28" s="20"/>
      <c r="L28" s="21"/>
      <c r="M28" s="21"/>
      <c r="N28" s="21"/>
      <c r="O28" s="21"/>
      <c r="P28" s="21"/>
      <c r="Q28" s="21"/>
      <c r="R28" s="21"/>
      <c r="S28" s="21"/>
      <c r="T28" s="21"/>
      <c r="U28" s="21"/>
      <c r="V28" s="22"/>
      <c r="W28"/>
      <c r="X28"/>
      <c r="Y28"/>
    </row>
    <row r="29" spans="2:26">
      <c r="B29" s="42"/>
      <c r="D29" s="26"/>
      <c r="E29" s="26"/>
      <c r="F29" s="58"/>
      <c r="K29" s="20"/>
      <c r="L29" s="21"/>
      <c r="M29" s="21"/>
      <c r="N29" s="21"/>
      <c r="O29" s="21"/>
      <c r="P29" s="21"/>
      <c r="Q29" s="21"/>
      <c r="R29" s="21"/>
      <c r="S29" s="21"/>
      <c r="T29" s="21"/>
      <c r="U29" s="21"/>
      <c r="V29" s="22"/>
      <c r="W29"/>
      <c r="X29"/>
      <c r="Y29"/>
    </row>
    <row r="30" spans="2:26">
      <c r="B30" s="42"/>
      <c r="D30" s="26"/>
      <c r="E30" s="26"/>
      <c r="F30" s="58"/>
      <c r="K30" s="20"/>
      <c r="L30" s="21"/>
      <c r="M30" s="21"/>
      <c r="N30" s="21"/>
      <c r="O30" s="21"/>
      <c r="P30" s="21"/>
      <c r="Q30" s="21"/>
      <c r="R30" s="21"/>
      <c r="S30" s="21"/>
      <c r="T30" s="21"/>
      <c r="U30" s="21"/>
      <c r="V30" s="22"/>
      <c r="W30"/>
      <c r="X30"/>
      <c r="Y30"/>
    </row>
    <row r="31" spans="2:26">
      <c r="B31" s="42"/>
      <c r="D31" s="26"/>
      <c r="E31" s="26"/>
      <c r="F31" s="58"/>
      <c r="K31" s="20"/>
      <c r="L31" s="21"/>
      <c r="M31" s="21"/>
      <c r="N31" s="21"/>
      <c r="O31" s="21"/>
      <c r="P31" s="21"/>
      <c r="Q31" s="21"/>
      <c r="R31" s="21"/>
      <c r="S31" s="21"/>
      <c r="T31" s="21"/>
      <c r="U31" s="21"/>
      <c r="V31" s="22"/>
      <c r="W31"/>
      <c r="X31"/>
      <c r="Y31"/>
    </row>
    <row r="32" spans="2:26">
      <c r="B32" s="42"/>
      <c r="D32" s="26"/>
      <c r="E32" s="26"/>
      <c r="F32" s="58"/>
      <c r="K32" s="20"/>
      <c r="L32" s="21"/>
      <c r="M32" s="21"/>
      <c r="N32" s="21"/>
      <c r="O32" s="21"/>
      <c r="P32" s="21"/>
      <c r="Q32" s="21"/>
      <c r="R32" s="21"/>
      <c r="S32" s="21"/>
      <c r="T32" s="21"/>
      <c r="U32" s="21"/>
      <c r="V32" s="22"/>
      <c r="W32"/>
      <c r="X32"/>
      <c r="Y32"/>
    </row>
    <row r="33" spans="2:25">
      <c r="B33" s="42"/>
      <c r="D33" s="26"/>
      <c r="E33" s="26"/>
      <c r="F33" s="58"/>
      <c r="K33" s="20"/>
      <c r="L33" s="21"/>
      <c r="M33" s="21"/>
      <c r="N33" s="21"/>
      <c r="O33" s="21"/>
      <c r="P33" s="21"/>
      <c r="Q33" s="21"/>
      <c r="R33" s="21"/>
      <c r="S33" s="21"/>
      <c r="T33" s="21"/>
      <c r="U33" s="21"/>
      <c r="V33" s="22"/>
      <c r="W33"/>
      <c r="X33"/>
      <c r="Y33"/>
    </row>
    <row r="34" spans="2:25">
      <c r="B34" s="42"/>
      <c r="D34" s="26"/>
      <c r="E34" s="26"/>
      <c r="F34" s="58"/>
      <c r="K34" s="20"/>
      <c r="L34" s="21"/>
      <c r="M34" s="21"/>
      <c r="N34" s="21"/>
      <c r="O34" s="21"/>
      <c r="P34" s="21"/>
      <c r="Q34" s="21"/>
      <c r="R34" s="21"/>
      <c r="S34" s="21"/>
      <c r="T34" s="21"/>
      <c r="U34" s="21"/>
      <c r="V34" s="22"/>
      <c r="W34"/>
      <c r="X34"/>
      <c r="Y34"/>
    </row>
    <row r="35" spans="2:25">
      <c r="B35" s="42"/>
      <c r="D35" s="26"/>
      <c r="E35" s="26"/>
      <c r="F35" s="58"/>
      <c r="K35" s="20"/>
      <c r="L35" s="21"/>
      <c r="M35" s="21"/>
      <c r="N35" s="21"/>
      <c r="O35" s="21"/>
      <c r="P35" s="21"/>
      <c r="Q35" s="21"/>
      <c r="R35" s="21"/>
      <c r="S35" s="21"/>
      <c r="T35" s="21"/>
      <c r="U35" s="21"/>
      <c r="V35" s="22"/>
      <c r="W35"/>
      <c r="X35"/>
      <c r="Y35"/>
    </row>
    <row r="36" spans="2:25" ht="14.5" thickBot="1">
      <c r="B36" s="42"/>
      <c r="D36" s="26"/>
      <c r="E36" s="26"/>
      <c r="F36" s="58"/>
      <c r="K36" s="29"/>
      <c r="L36" s="30"/>
      <c r="M36" s="30"/>
      <c r="N36" s="30"/>
      <c r="O36" s="30"/>
      <c r="P36" s="30"/>
      <c r="Q36" s="30"/>
      <c r="R36" s="30"/>
      <c r="S36" s="30"/>
      <c r="T36" s="30"/>
      <c r="U36" s="30"/>
      <c r="V36" s="31"/>
      <c r="W36"/>
      <c r="X36"/>
      <c r="Y36"/>
    </row>
    <row r="37" spans="2:25">
      <c r="B37" s="42"/>
      <c r="D37" s="26"/>
      <c r="E37" s="26"/>
      <c r="F37" s="58"/>
      <c r="X37"/>
      <c r="Y37"/>
    </row>
    <row r="38" spans="2:25">
      <c r="B38" s="42"/>
      <c r="D38" s="26"/>
      <c r="E38" s="26"/>
      <c r="F38" s="58"/>
      <c r="X38"/>
      <c r="Y38"/>
    </row>
    <row r="39" spans="2:25">
      <c r="B39" s="42"/>
      <c r="D39" s="26"/>
      <c r="E39" s="26"/>
      <c r="F39" s="58"/>
      <c r="X39"/>
      <c r="Y39"/>
    </row>
    <row r="40" spans="2:25">
      <c r="B40" s="42"/>
      <c r="D40" s="26"/>
      <c r="E40" s="26"/>
      <c r="F40" s="58"/>
      <c r="X40"/>
      <c r="Y40"/>
    </row>
    <row r="41" spans="2:25">
      <c r="B41" s="42"/>
      <c r="D41" s="26"/>
      <c r="E41" s="26"/>
      <c r="F41" s="58"/>
      <c r="X41"/>
      <c r="Y41"/>
    </row>
    <row r="42" spans="2:25">
      <c r="B42" s="42"/>
      <c r="D42" s="26"/>
      <c r="E42" s="26"/>
      <c r="F42" s="58"/>
      <c r="X42"/>
      <c r="Y42"/>
    </row>
    <row r="43" spans="2:25">
      <c r="B43" s="42"/>
      <c r="D43" s="26"/>
      <c r="E43" s="26"/>
      <c r="F43" s="58"/>
      <c r="X43"/>
      <c r="Y43"/>
    </row>
    <row r="44" spans="2:25">
      <c r="B44" s="42"/>
      <c r="D44" s="26"/>
      <c r="E44" s="26"/>
      <c r="F44" s="58"/>
      <c r="X44"/>
      <c r="Y44"/>
    </row>
    <row r="45" spans="2:25">
      <c r="B45" s="42"/>
      <c r="D45" s="26"/>
      <c r="E45" s="26"/>
      <c r="F45" s="58"/>
      <c r="X45"/>
      <c r="Y45"/>
    </row>
    <row r="46" spans="2:25">
      <c r="B46" s="42"/>
      <c r="D46" s="26"/>
      <c r="E46" s="26"/>
      <c r="F46" s="58"/>
      <c r="X46"/>
      <c r="Y46"/>
    </row>
    <row r="47" spans="2:25">
      <c r="B47" s="42"/>
      <c r="D47" s="26"/>
      <c r="E47" s="26"/>
      <c r="F47" s="58"/>
      <c r="X47"/>
      <c r="Y47"/>
    </row>
    <row r="48" spans="2:25">
      <c r="B48" s="42"/>
      <c r="D48" s="26"/>
      <c r="E48" s="26"/>
      <c r="F48" s="58"/>
      <c r="X48"/>
      <c r="Y48"/>
    </row>
    <row r="49" spans="2:25">
      <c r="B49" s="42"/>
      <c r="D49" s="26"/>
      <c r="E49" s="26"/>
      <c r="F49" s="58"/>
      <c r="X49"/>
      <c r="Y49"/>
    </row>
    <row r="50" spans="2:25">
      <c r="B50" s="42"/>
      <c r="D50" s="26"/>
      <c r="E50" s="26"/>
      <c r="F50" s="58"/>
      <c r="X50"/>
      <c r="Y50"/>
    </row>
    <row r="51" spans="2:25">
      <c r="B51" s="42"/>
      <c r="D51" s="26"/>
      <c r="E51" s="26"/>
      <c r="F51" s="58"/>
      <c r="X51"/>
      <c r="Y51"/>
    </row>
    <row r="52" spans="2:25">
      <c r="B52" s="42"/>
      <c r="D52" s="26"/>
      <c r="E52" s="26"/>
      <c r="F52" s="58"/>
      <c r="X52"/>
      <c r="Y52"/>
    </row>
    <row r="53" spans="2:25">
      <c r="B53" s="42"/>
      <c r="D53" s="26"/>
      <c r="E53" s="26"/>
      <c r="F53" s="58"/>
      <c r="X53"/>
      <c r="Y53"/>
    </row>
    <row r="54" spans="2:25">
      <c r="B54" s="42"/>
      <c r="D54" s="26"/>
      <c r="E54" s="26"/>
      <c r="F54" s="58"/>
      <c r="X54"/>
      <c r="Y54"/>
    </row>
    <row r="55" spans="2:25">
      <c r="B55" s="42"/>
      <c r="D55" s="26"/>
      <c r="E55" s="26"/>
      <c r="F55" s="58"/>
      <c r="X55"/>
      <c r="Y55"/>
    </row>
    <row r="56" spans="2:25">
      <c r="B56" s="42"/>
      <c r="D56" s="26"/>
      <c r="E56" s="26"/>
      <c r="F56" s="58"/>
      <c r="X56"/>
      <c r="Y56"/>
    </row>
    <row r="57" spans="2:25">
      <c r="B57" s="42"/>
      <c r="D57" s="26"/>
      <c r="E57" s="26"/>
      <c r="F57" s="58"/>
      <c r="X57"/>
      <c r="Y57"/>
    </row>
    <row r="58" spans="2:25">
      <c r="B58" s="42"/>
      <c r="C58" s="62"/>
      <c r="D58" s="26"/>
      <c r="E58" s="26"/>
      <c r="F58" s="58"/>
      <c r="X58"/>
      <c r="Y58"/>
    </row>
    <row r="59" spans="2:25">
      <c r="B59" s="42"/>
      <c r="D59" s="26"/>
      <c r="E59" s="26"/>
      <c r="F59" s="58"/>
      <c r="X59"/>
      <c r="Y59"/>
    </row>
    <row r="60" spans="2:25">
      <c r="B60" s="42"/>
      <c r="D60" s="26"/>
      <c r="E60" s="26"/>
      <c r="F60" s="58"/>
      <c r="X60"/>
      <c r="Y60"/>
    </row>
    <row r="61" spans="2:25">
      <c r="B61" s="42"/>
      <c r="D61" s="26"/>
      <c r="E61" s="26"/>
      <c r="F61" s="58"/>
      <c r="X61"/>
      <c r="Y61"/>
    </row>
    <row r="62" spans="2:25">
      <c r="B62" s="42"/>
      <c r="D62" s="26"/>
      <c r="E62" s="26"/>
      <c r="F62" s="58"/>
      <c r="X62"/>
      <c r="Y62"/>
    </row>
    <row r="63" spans="2:25">
      <c r="B63" s="42"/>
      <c r="D63" s="26"/>
      <c r="E63" s="26"/>
      <c r="F63" s="58"/>
      <c r="X63"/>
      <c r="Y63"/>
    </row>
    <row r="64" spans="2:25">
      <c r="B64" s="42"/>
      <c r="D64" s="26"/>
      <c r="E64" s="26"/>
      <c r="F64" s="58"/>
      <c r="X64"/>
      <c r="Y64"/>
    </row>
    <row r="65" spans="2:25">
      <c r="B65" s="42"/>
      <c r="D65" s="26"/>
      <c r="E65" s="26"/>
      <c r="F65" s="58"/>
      <c r="X65"/>
      <c r="Y65"/>
    </row>
    <row r="66" spans="2:25">
      <c r="B66" s="42"/>
      <c r="D66" s="26"/>
      <c r="E66" s="26"/>
      <c r="F66" s="58"/>
      <c r="X66"/>
      <c r="Y66"/>
    </row>
    <row r="67" spans="2:25">
      <c r="B67" s="42"/>
      <c r="D67" s="26"/>
      <c r="E67" s="26"/>
      <c r="F67" s="58"/>
      <c r="X67"/>
      <c r="Y67"/>
    </row>
    <row r="68" spans="2:25">
      <c r="B68" s="42"/>
      <c r="D68" s="26"/>
      <c r="E68" s="26"/>
      <c r="F68" s="58"/>
      <c r="X68"/>
      <c r="Y68"/>
    </row>
    <row r="69" spans="2:25">
      <c r="B69" s="42"/>
      <c r="D69" s="26"/>
      <c r="E69" s="26"/>
      <c r="F69" s="58"/>
      <c r="X69"/>
      <c r="Y69"/>
    </row>
    <row r="70" spans="2:25">
      <c r="B70" s="42"/>
      <c r="D70" s="26"/>
      <c r="E70" s="26"/>
      <c r="F70" s="58"/>
      <c r="X70"/>
      <c r="Y70"/>
    </row>
    <row r="71" spans="2:25">
      <c r="B71" s="42"/>
      <c r="D71" s="26"/>
      <c r="E71" s="26"/>
      <c r="F71" s="58"/>
      <c r="X71"/>
      <c r="Y71"/>
    </row>
    <row r="72" spans="2:25">
      <c r="B72" s="42"/>
      <c r="D72" s="26"/>
      <c r="E72" s="26"/>
      <c r="F72" s="58"/>
      <c r="X72"/>
      <c r="Y72"/>
    </row>
    <row r="73" spans="2:25">
      <c r="B73" s="42"/>
      <c r="D73" s="26"/>
      <c r="E73" s="26"/>
      <c r="F73" s="58"/>
      <c r="X73"/>
      <c r="Y73"/>
    </row>
    <row r="74" spans="2:25">
      <c r="B74" s="42"/>
      <c r="D74" s="26"/>
      <c r="E74" s="26"/>
      <c r="F74" s="58"/>
      <c r="X74"/>
      <c r="Y74"/>
    </row>
    <row r="75" spans="2:25">
      <c r="B75" s="42"/>
      <c r="D75" s="26"/>
      <c r="E75" s="26"/>
      <c r="F75" s="58"/>
      <c r="X75"/>
      <c r="Y75"/>
    </row>
    <row r="76" spans="2:25">
      <c r="B76" s="42"/>
      <c r="D76" s="26"/>
      <c r="E76" s="26"/>
      <c r="F76" s="58"/>
      <c r="X76"/>
      <c r="Y76"/>
    </row>
    <row r="77" spans="2:25">
      <c r="B77" s="42"/>
      <c r="D77" s="26"/>
      <c r="E77" s="26"/>
      <c r="F77" s="58"/>
      <c r="X77"/>
      <c r="Y77"/>
    </row>
    <row r="78" spans="2:25">
      <c r="B78" s="42"/>
      <c r="D78" s="26"/>
      <c r="E78" s="26"/>
      <c r="F78" s="58"/>
      <c r="X78"/>
      <c r="Y78"/>
    </row>
    <row r="79" spans="2:25">
      <c r="B79" s="42"/>
      <c r="D79" s="26"/>
      <c r="E79" s="26"/>
      <c r="F79" s="58"/>
      <c r="X79"/>
      <c r="Y79"/>
    </row>
    <row r="80" spans="2:25">
      <c r="B80" s="42"/>
      <c r="D80" s="26"/>
      <c r="E80" s="26"/>
      <c r="F80" s="58"/>
      <c r="X80"/>
      <c r="Y80"/>
    </row>
    <row r="81" spans="2:25">
      <c r="B81" s="42"/>
      <c r="D81" s="26"/>
      <c r="E81" s="26"/>
      <c r="F81" s="58"/>
      <c r="X81"/>
      <c r="Y81"/>
    </row>
    <row r="82" spans="2:25">
      <c r="B82" s="42"/>
      <c r="D82" s="26"/>
      <c r="E82" s="26"/>
      <c r="F82" s="58"/>
      <c r="X82"/>
      <c r="Y82"/>
    </row>
    <row r="83" spans="2:25">
      <c r="B83" s="42"/>
      <c r="D83" s="26"/>
      <c r="E83" s="26"/>
      <c r="F83" s="58"/>
      <c r="X83"/>
      <c r="Y83"/>
    </row>
    <row r="84" spans="2:25">
      <c r="B84" s="42"/>
      <c r="D84" s="26"/>
      <c r="E84" s="26"/>
      <c r="F84" s="58"/>
      <c r="X84"/>
      <c r="Y84"/>
    </row>
    <row r="85" spans="2:25">
      <c r="B85" s="42"/>
      <c r="D85" s="26"/>
      <c r="E85" s="26"/>
      <c r="F85" s="58"/>
      <c r="X85"/>
      <c r="Y85"/>
    </row>
    <row r="86" spans="2:25">
      <c r="B86" s="42"/>
      <c r="D86" s="26"/>
      <c r="E86" s="26"/>
      <c r="F86" s="58"/>
      <c r="X86"/>
      <c r="Y86"/>
    </row>
    <row r="87" spans="2:25">
      <c r="B87" s="42"/>
      <c r="D87" s="26"/>
      <c r="E87" s="26"/>
      <c r="F87" s="58"/>
      <c r="X87"/>
      <c r="Y87"/>
    </row>
    <row r="88" spans="2:25">
      <c r="B88" s="42"/>
      <c r="D88" s="26"/>
      <c r="E88" s="26"/>
      <c r="F88" s="58"/>
      <c r="X88"/>
      <c r="Y88"/>
    </row>
    <row r="89" spans="2:25">
      <c r="B89" s="42"/>
      <c r="D89" s="26"/>
      <c r="E89" s="26"/>
      <c r="F89" s="58"/>
      <c r="X89"/>
      <c r="Y89"/>
    </row>
    <row r="90" spans="2:25">
      <c r="B90" s="42"/>
      <c r="D90" s="26"/>
      <c r="E90" s="26"/>
      <c r="F90" s="58"/>
      <c r="X90"/>
      <c r="Y90"/>
    </row>
    <row r="91" spans="2:25">
      <c r="B91" s="42"/>
      <c r="D91" s="26"/>
      <c r="E91" s="26"/>
      <c r="F91" s="58"/>
      <c r="X91"/>
      <c r="Y91"/>
    </row>
    <row r="92" spans="2:25">
      <c r="B92" s="42"/>
      <c r="D92" s="26"/>
      <c r="E92" s="26"/>
      <c r="F92" s="58"/>
      <c r="X92"/>
      <c r="Y92"/>
    </row>
    <row r="93" spans="2:25">
      <c r="B93" s="42"/>
      <c r="D93" s="26"/>
      <c r="E93" s="26"/>
      <c r="F93" s="58"/>
      <c r="X93"/>
      <c r="Y93"/>
    </row>
    <row r="94" spans="2:25">
      <c r="B94" s="42"/>
      <c r="D94" s="26"/>
      <c r="E94" s="26"/>
      <c r="F94" s="58"/>
      <c r="X94"/>
      <c r="Y94"/>
    </row>
    <row r="95" spans="2:25">
      <c r="B95" s="42"/>
      <c r="D95" s="26"/>
      <c r="E95" s="26"/>
      <c r="F95" s="58"/>
      <c r="X95"/>
      <c r="Y95"/>
    </row>
    <row r="96" spans="2:25">
      <c r="B96" s="42"/>
      <c r="D96" s="26"/>
      <c r="E96" s="26"/>
      <c r="F96" s="58"/>
      <c r="X96"/>
      <c r="Y96"/>
    </row>
    <row r="97" spans="2:25">
      <c r="B97" s="42"/>
      <c r="D97" s="26"/>
      <c r="E97" s="26"/>
      <c r="F97" s="58"/>
      <c r="X97"/>
      <c r="Y97"/>
    </row>
    <row r="98" spans="2:25">
      <c r="B98" s="42"/>
      <c r="D98" s="26"/>
      <c r="E98" s="26"/>
      <c r="F98" s="58"/>
      <c r="X98"/>
      <c r="Y98"/>
    </row>
    <row r="99" spans="2:25">
      <c r="B99" s="42"/>
      <c r="D99" s="26"/>
      <c r="E99" s="26"/>
      <c r="F99" s="58"/>
      <c r="X99"/>
      <c r="Y99"/>
    </row>
    <row r="100" spans="2:25">
      <c r="B100" s="42"/>
      <c r="D100" s="26"/>
      <c r="E100" s="26"/>
      <c r="F100" s="58"/>
      <c r="X100"/>
      <c r="Y100"/>
    </row>
    <row r="101" spans="2:25">
      <c r="B101" s="42"/>
      <c r="D101" s="26"/>
      <c r="E101" s="26"/>
      <c r="F101" s="58"/>
      <c r="X101"/>
      <c r="Y101"/>
    </row>
    <row r="102" spans="2:25">
      <c r="B102" s="42"/>
      <c r="D102" s="26"/>
      <c r="E102" s="26"/>
      <c r="F102" s="58"/>
      <c r="X102"/>
      <c r="Y102"/>
    </row>
    <row r="103" spans="2:25">
      <c r="B103" s="42"/>
      <c r="D103" s="26"/>
      <c r="E103" s="26"/>
      <c r="F103" s="58"/>
      <c r="X103"/>
      <c r="Y103"/>
    </row>
    <row r="104" spans="2:25">
      <c r="B104" s="42"/>
      <c r="D104" s="26"/>
      <c r="E104" s="26"/>
      <c r="F104" s="58"/>
      <c r="X104"/>
      <c r="Y104"/>
    </row>
    <row r="105" spans="2:25">
      <c r="B105" s="42"/>
      <c r="D105" s="26"/>
      <c r="E105" s="26"/>
      <c r="F105" s="58"/>
      <c r="X105"/>
      <c r="Y105"/>
    </row>
    <row r="106" spans="2:25">
      <c r="B106" s="42"/>
      <c r="D106" s="26"/>
      <c r="E106" s="26"/>
      <c r="F106" s="58"/>
      <c r="X106"/>
      <c r="Y106"/>
    </row>
    <row r="107" spans="2:25">
      <c r="B107" s="42"/>
      <c r="D107" s="26"/>
      <c r="E107" s="26"/>
      <c r="F107" s="58"/>
      <c r="X107"/>
      <c r="Y107"/>
    </row>
    <row r="108" spans="2:25">
      <c r="B108" s="42"/>
      <c r="D108" s="26"/>
      <c r="E108" s="26"/>
      <c r="F108" s="58"/>
      <c r="X108"/>
      <c r="Y108"/>
    </row>
    <row r="109" spans="2:25">
      <c r="B109" s="42"/>
      <c r="D109" s="26"/>
      <c r="E109" s="26"/>
      <c r="F109" s="58"/>
      <c r="X109"/>
      <c r="Y109"/>
    </row>
    <row r="110" spans="2:25">
      <c r="B110" s="42"/>
      <c r="D110" s="26"/>
      <c r="E110" s="26"/>
      <c r="F110" s="58"/>
      <c r="X110"/>
      <c r="Y110"/>
    </row>
    <row r="111" spans="2:25">
      <c r="B111" s="42"/>
      <c r="D111" s="26"/>
      <c r="E111" s="26"/>
      <c r="F111" s="58"/>
      <c r="X111"/>
      <c r="Y111"/>
    </row>
    <row r="112" spans="2:25">
      <c r="B112" s="42"/>
      <c r="D112" s="26"/>
      <c r="E112" s="26"/>
      <c r="F112" s="58"/>
      <c r="X112"/>
      <c r="Y112"/>
    </row>
    <row r="113" spans="2:25">
      <c r="B113" s="42"/>
      <c r="D113" s="26"/>
      <c r="E113" s="26"/>
      <c r="F113" s="58"/>
      <c r="X113"/>
      <c r="Y113"/>
    </row>
    <row r="114" spans="2:25">
      <c r="B114" s="42"/>
      <c r="D114" s="26"/>
      <c r="E114" s="26"/>
      <c r="F114" s="58"/>
      <c r="X114"/>
      <c r="Y114"/>
    </row>
    <row r="115" spans="2:25">
      <c r="B115" s="42"/>
      <c r="D115" s="26"/>
      <c r="E115" s="26"/>
      <c r="F115" s="58"/>
      <c r="X115"/>
      <c r="Y115"/>
    </row>
    <row r="116" spans="2:25">
      <c r="B116" s="42"/>
      <c r="D116" s="26"/>
      <c r="E116" s="26"/>
      <c r="F116" s="58"/>
      <c r="X116"/>
      <c r="Y116"/>
    </row>
    <row r="117" spans="2:25">
      <c r="B117" s="42"/>
      <c r="D117" s="26"/>
      <c r="E117" s="26"/>
      <c r="F117" s="58"/>
    </row>
    <row r="118" spans="2:25">
      <c r="B118" s="42"/>
      <c r="D118" s="26"/>
      <c r="E118" s="26"/>
      <c r="F118" s="58"/>
    </row>
    <row r="119" spans="2:25">
      <c r="B119" s="42"/>
      <c r="D119" s="26"/>
      <c r="E119" s="26"/>
      <c r="F119" s="58"/>
    </row>
    <row r="120" spans="2:25">
      <c r="B120" s="42"/>
      <c r="D120" s="26"/>
      <c r="E120" s="26"/>
      <c r="F120" s="58"/>
    </row>
    <row r="121" spans="2:25">
      <c r="B121" s="42"/>
      <c r="D121" s="26"/>
      <c r="E121" s="26"/>
      <c r="F121" s="58"/>
    </row>
    <row r="122" spans="2:25">
      <c r="B122" s="42"/>
      <c r="D122" s="26"/>
      <c r="E122" s="26"/>
      <c r="F122" s="58"/>
    </row>
    <row r="123" spans="2:25">
      <c r="B123" s="42"/>
      <c r="D123" s="26"/>
      <c r="E123" s="26"/>
      <c r="F123" s="58"/>
    </row>
    <row r="124" spans="2:25">
      <c r="B124" s="42"/>
      <c r="D124" s="26"/>
      <c r="E124" s="26"/>
      <c r="F124" s="58"/>
    </row>
    <row r="125" spans="2:25">
      <c r="B125" s="42"/>
      <c r="D125" s="26"/>
      <c r="E125" s="26"/>
      <c r="F125" s="58"/>
    </row>
    <row r="126" spans="2:25">
      <c r="B126" s="42"/>
      <c r="D126" s="26"/>
      <c r="E126" s="26"/>
      <c r="F126" s="58"/>
    </row>
    <row r="127" spans="2:25">
      <c r="B127" s="42"/>
      <c r="D127" s="26"/>
      <c r="E127" s="26"/>
      <c r="F127" s="58"/>
    </row>
    <row r="128" spans="2:25">
      <c r="B128" s="42"/>
      <c r="D128" s="26"/>
      <c r="E128" s="26"/>
      <c r="F128" s="58"/>
    </row>
    <row r="129" spans="2:6">
      <c r="B129" s="42"/>
      <c r="D129" s="26"/>
      <c r="E129" s="26"/>
      <c r="F129" s="58"/>
    </row>
    <row r="130" spans="2:6">
      <c r="B130" s="42"/>
      <c r="D130" s="26"/>
      <c r="E130" s="26"/>
      <c r="F130" s="58"/>
    </row>
    <row r="131" spans="2:6">
      <c r="B131" s="42"/>
      <c r="D131" s="26"/>
      <c r="E131" s="26"/>
      <c r="F131" s="58"/>
    </row>
    <row r="132" spans="2:6">
      <c r="B132" s="42"/>
      <c r="D132" s="26"/>
      <c r="E132" s="26"/>
      <c r="F132" s="58"/>
    </row>
    <row r="133" spans="2:6">
      <c r="B133" s="42"/>
      <c r="D133" s="26"/>
      <c r="E133" s="26"/>
      <c r="F133" s="58"/>
    </row>
    <row r="134" spans="2:6">
      <c r="B134" s="42"/>
      <c r="D134" s="26"/>
      <c r="E134" s="26"/>
      <c r="F134" s="58"/>
    </row>
    <row r="135" spans="2:6">
      <c r="B135" s="42"/>
      <c r="D135" s="26"/>
      <c r="E135" s="26"/>
      <c r="F135" s="58"/>
    </row>
    <row r="136" spans="2:6">
      <c r="B136" s="42"/>
      <c r="D136" s="26"/>
      <c r="E136" s="26"/>
      <c r="F136" s="58"/>
    </row>
    <row r="137" spans="2:6">
      <c r="B137" s="42"/>
      <c r="D137" s="26"/>
      <c r="E137" s="26"/>
      <c r="F137" s="58"/>
    </row>
    <row r="138" spans="2:6">
      <c r="B138" s="42"/>
      <c r="D138" s="26"/>
      <c r="E138" s="26"/>
      <c r="F138" s="58"/>
    </row>
    <row r="139" spans="2:6">
      <c r="B139" s="42"/>
      <c r="D139" s="26"/>
      <c r="E139" s="26"/>
      <c r="F139" s="58"/>
    </row>
    <row r="140" spans="2:6">
      <c r="B140" s="42"/>
      <c r="D140" s="26"/>
      <c r="E140" s="26"/>
      <c r="F140" s="58"/>
    </row>
    <row r="141" spans="2:6">
      <c r="B141" s="42"/>
      <c r="D141" s="26"/>
      <c r="E141" s="26"/>
      <c r="F141" s="58"/>
    </row>
    <row r="142" spans="2:6">
      <c r="B142" s="42"/>
      <c r="D142" s="26"/>
      <c r="E142" s="26"/>
      <c r="F142" s="58"/>
    </row>
    <row r="143" spans="2:6">
      <c r="B143" s="42"/>
      <c r="D143" s="26"/>
      <c r="E143" s="26"/>
      <c r="F143" s="58"/>
    </row>
    <row r="144" spans="2:6">
      <c r="B144" s="42"/>
      <c r="D144" s="26"/>
      <c r="E144" s="26"/>
      <c r="F144" s="58"/>
    </row>
    <row r="145" spans="2:6">
      <c r="B145" s="42"/>
      <c r="D145" s="26"/>
      <c r="E145" s="26"/>
      <c r="F145" s="58"/>
    </row>
    <row r="146" spans="2:6">
      <c r="B146" s="42"/>
      <c r="D146" s="26"/>
      <c r="E146" s="26"/>
      <c r="F146" s="58"/>
    </row>
    <row r="147" spans="2:6">
      <c r="B147" s="42"/>
      <c r="D147" s="26"/>
      <c r="E147" s="26"/>
      <c r="F147" s="58"/>
    </row>
    <row r="148" spans="2:6">
      <c r="B148" s="42"/>
      <c r="D148" s="26"/>
      <c r="E148" s="26"/>
      <c r="F148" s="58"/>
    </row>
    <row r="149" spans="2:6">
      <c r="B149" s="42"/>
      <c r="D149" s="26"/>
      <c r="E149" s="26"/>
      <c r="F149" s="58"/>
    </row>
    <row r="150" spans="2:6">
      <c r="B150" s="42"/>
      <c r="D150" s="26"/>
      <c r="E150" s="26"/>
      <c r="F150" s="58"/>
    </row>
    <row r="151" spans="2:6">
      <c r="B151" s="42"/>
      <c r="D151" s="26"/>
      <c r="E151" s="26"/>
      <c r="F151" s="58"/>
    </row>
    <row r="152" spans="2:6">
      <c r="B152" s="42"/>
      <c r="D152" s="26"/>
      <c r="E152" s="26"/>
      <c r="F152" s="58"/>
    </row>
    <row r="153" spans="2:6">
      <c r="B153" s="42"/>
      <c r="D153" s="26"/>
      <c r="E153" s="26"/>
      <c r="F153" s="58"/>
    </row>
    <row r="154" spans="2:6">
      <c r="B154" s="42"/>
      <c r="D154" s="26"/>
      <c r="E154" s="26"/>
      <c r="F154" s="58"/>
    </row>
    <row r="155" spans="2:6">
      <c r="B155" s="42"/>
      <c r="D155" s="26"/>
      <c r="E155" s="26"/>
      <c r="F155" s="58"/>
    </row>
    <row r="156" spans="2:6">
      <c r="B156" s="42"/>
      <c r="D156" s="26"/>
      <c r="E156" s="26"/>
      <c r="F156" s="58"/>
    </row>
    <row r="157" spans="2:6">
      <c r="B157" s="42"/>
      <c r="D157" s="26"/>
      <c r="E157" s="26"/>
      <c r="F157" s="58"/>
    </row>
    <row r="158" spans="2:6">
      <c r="B158" s="42"/>
      <c r="D158" s="26"/>
      <c r="E158" s="26"/>
      <c r="F158" s="58"/>
    </row>
    <row r="159" spans="2:6">
      <c r="B159" s="42"/>
      <c r="D159" s="26"/>
      <c r="E159" s="26"/>
      <c r="F159" s="58"/>
    </row>
    <row r="160" spans="2:6">
      <c r="B160" s="42"/>
      <c r="D160" s="26"/>
      <c r="E160" s="26"/>
      <c r="F160" s="58"/>
    </row>
    <row r="161" spans="2:6">
      <c r="B161" s="42"/>
      <c r="D161" s="26"/>
      <c r="E161" s="26"/>
      <c r="F161" s="58"/>
    </row>
    <row r="162" spans="2:6">
      <c r="B162" s="42"/>
      <c r="D162" s="26"/>
      <c r="E162" s="26"/>
      <c r="F162" s="58"/>
    </row>
    <row r="163" spans="2:6">
      <c r="B163" s="42"/>
      <c r="D163" s="26"/>
      <c r="E163" s="26"/>
      <c r="F163" s="58"/>
    </row>
    <row r="164" spans="2:6">
      <c r="B164" s="42"/>
      <c r="D164" s="26"/>
      <c r="E164" s="26"/>
      <c r="F164" s="58"/>
    </row>
    <row r="165" spans="2:6">
      <c r="B165" s="42"/>
      <c r="D165" s="26"/>
      <c r="E165" s="26"/>
      <c r="F165" s="58"/>
    </row>
    <row r="166" spans="2:6">
      <c r="B166" s="42"/>
      <c r="D166" s="26"/>
      <c r="E166" s="26"/>
      <c r="F166" s="58"/>
    </row>
    <row r="167" spans="2:6">
      <c r="B167" s="42"/>
      <c r="D167" s="26"/>
      <c r="E167" s="26"/>
      <c r="F167" s="58"/>
    </row>
    <row r="168" spans="2:6">
      <c r="B168" s="42"/>
      <c r="D168" s="26"/>
      <c r="E168" s="26"/>
      <c r="F168" s="58"/>
    </row>
    <row r="169" spans="2:6">
      <c r="B169" s="42"/>
      <c r="D169" s="26"/>
      <c r="E169" s="26"/>
      <c r="F169" s="58"/>
    </row>
    <row r="170" spans="2:6">
      <c r="B170" s="42"/>
      <c r="D170" s="26"/>
      <c r="E170" s="26"/>
      <c r="F170" s="58"/>
    </row>
    <row r="171" spans="2:6">
      <c r="B171" s="42"/>
      <c r="D171" s="26"/>
      <c r="E171" s="26"/>
      <c r="F171" s="58"/>
    </row>
    <row r="172" spans="2:6">
      <c r="B172" s="42"/>
      <c r="D172" s="26"/>
      <c r="E172" s="26"/>
      <c r="F172" s="58"/>
    </row>
    <row r="173" spans="2:6">
      <c r="B173" s="42"/>
      <c r="D173" s="26"/>
      <c r="E173" s="26"/>
      <c r="F173" s="58"/>
    </row>
    <row r="174" spans="2:6">
      <c r="B174" s="42"/>
      <c r="D174" s="26"/>
      <c r="E174" s="26"/>
      <c r="F174" s="58"/>
    </row>
    <row r="175" spans="2:6">
      <c r="B175" s="42"/>
      <c r="D175" s="26"/>
      <c r="E175" s="26"/>
      <c r="F175" s="58"/>
    </row>
    <row r="176" spans="2:6">
      <c r="B176" s="42"/>
      <c r="D176" s="26"/>
      <c r="E176" s="26"/>
      <c r="F176" s="58"/>
    </row>
    <row r="177" spans="2:6">
      <c r="B177" s="42"/>
      <c r="D177" s="26"/>
      <c r="E177" s="26"/>
      <c r="F177" s="58"/>
    </row>
    <row r="178" spans="2:6">
      <c r="B178" s="42"/>
      <c r="D178" s="26"/>
      <c r="E178" s="26"/>
      <c r="F178" s="58"/>
    </row>
    <row r="179" spans="2:6">
      <c r="B179" s="42"/>
      <c r="D179" s="26"/>
      <c r="E179" s="26"/>
      <c r="F179" s="58"/>
    </row>
    <row r="180" spans="2:6">
      <c r="B180" s="42"/>
      <c r="D180" s="26"/>
      <c r="E180" s="26"/>
      <c r="F180" s="58"/>
    </row>
    <row r="181" spans="2:6">
      <c r="B181" s="42"/>
      <c r="D181" s="26"/>
      <c r="E181" s="26"/>
      <c r="F181" s="58"/>
    </row>
    <row r="182" spans="2:6">
      <c r="B182" s="42"/>
      <c r="D182" s="26"/>
      <c r="E182" s="26"/>
      <c r="F182" s="58"/>
    </row>
    <row r="183" spans="2:6">
      <c r="B183" s="42"/>
      <c r="D183" s="26"/>
      <c r="E183" s="26"/>
      <c r="F183" s="58"/>
    </row>
    <row r="184" spans="2:6">
      <c r="B184" s="42"/>
      <c r="D184" s="26"/>
      <c r="E184" s="26"/>
      <c r="F184" s="58"/>
    </row>
    <row r="185" spans="2:6">
      <c r="B185" s="42"/>
      <c r="D185" s="26"/>
      <c r="E185" s="26"/>
      <c r="F185" s="58"/>
    </row>
    <row r="186" spans="2:6">
      <c r="B186" s="42"/>
      <c r="D186" s="26"/>
      <c r="E186" s="26"/>
      <c r="F186" s="58"/>
    </row>
    <row r="187" spans="2:6">
      <c r="B187" s="42"/>
      <c r="D187" s="26"/>
      <c r="E187" s="26"/>
      <c r="F187" s="58"/>
    </row>
    <row r="188" spans="2:6">
      <c r="B188" s="42"/>
      <c r="D188" s="26"/>
      <c r="E188" s="26"/>
      <c r="F188" s="58"/>
    </row>
    <row r="189" spans="2:6">
      <c r="B189" s="42"/>
      <c r="D189" s="26"/>
      <c r="E189" s="26"/>
      <c r="F189" s="58"/>
    </row>
    <row r="190" spans="2:6">
      <c r="B190" s="42"/>
      <c r="D190" s="26"/>
      <c r="E190" s="26"/>
      <c r="F190" s="58"/>
    </row>
    <row r="191" spans="2:6">
      <c r="B191" s="42"/>
      <c r="D191" s="26"/>
      <c r="E191" s="26"/>
      <c r="F191" s="58"/>
    </row>
    <row r="192" spans="2:6">
      <c r="B192" s="42"/>
      <c r="D192" s="26"/>
      <c r="E192" s="26"/>
      <c r="F192" s="58"/>
    </row>
    <row r="193" spans="2:6">
      <c r="B193" s="42"/>
      <c r="D193" s="26"/>
      <c r="E193" s="26"/>
      <c r="F193" s="58"/>
    </row>
    <row r="194" spans="2:6">
      <c r="B194" s="42"/>
      <c r="D194" s="26"/>
      <c r="E194" s="26"/>
      <c r="F194" s="58"/>
    </row>
    <row r="195" spans="2:6">
      <c r="B195" s="42"/>
      <c r="D195" s="26"/>
      <c r="E195" s="26"/>
      <c r="F195" s="58"/>
    </row>
    <row r="196" spans="2:6">
      <c r="B196" s="42"/>
      <c r="D196" s="26"/>
      <c r="E196" s="26"/>
      <c r="F196" s="58"/>
    </row>
    <row r="197" spans="2:6">
      <c r="B197" s="42"/>
      <c r="D197" s="26"/>
      <c r="E197" s="26"/>
      <c r="F197" s="58"/>
    </row>
    <row r="198" spans="2:6">
      <c r="B198" s="42"/>
      <c r="D198" s="26"/>
      <c r="E198" s="26"/>
      <c r="F198" s="58"/>
    </row>
    <row r="199" spans="2:6">
      <c r="B199" s="42"/>
      <c r="D199" s="26"/>
      <c r="E199" s="26"/>
      <c r="F199" s="58"/>
    </row>
    <row r="200" spans="2:6">
      <c r="B200" s="42"/>
      <c r="D200" s="26"/>
      <c r="E200" s="26"/>
      <c r="F200" s="58"/>
    </row>
    <row r="201" spans="2:6">
      <c r="B201" s="42"/>
      <c r="D201" s="26"/>
      <c r="E201" s="26"/>
      <c r="F201" s="58"/>
    </row>
    <row r="202" spans="2:6">
      <c r="B202" s="42"/>
      <c r="D202" s="26"/>
      <c r="E202" s="26"/>
      <c r="F202" s="58"/>
    </row>
    <row r="203" spans="2:6">
      <c r="B203" s="42"/>
      <c r="D203" s="26"/>
      <c r="E203" s="26"/>
      <c r="F203" s="58"/>
    </row>
    <row r="204" spans="2:6">
      <c r="B204" s="42"/>
      <c r="D204" s="26"/>
      <c r="E204" s="26"/>
      <c r="F204" s="58"/>
    </row>
    <row r="205" spans="2:6">
      <c r="B205" s="42"/>
      <c r="D205" s="26"/>
      <c r="E205" s="26"/>
      <c r="F205" s="58"/>
    </row>
    <row r="206" spans="2:6">
      <c r="B206" s="42"/>
      <c r="D206" s="26"/>
      <c r="E206" s="26"/>
      <c r="F206" s="58"/>
    </row>
    <row r="207" spans="2:6">
      <c r="B207" s="42"/>
      <c r="D207" s="26"/>
      <c r="E207" s="26"/>
      <c r="F207" s="58"/>
    </row>
    <row r="208" spans="2:6">
      <c r="B208" s="42"/>
      <c r="D208" s="26"/>
      <c r="E208" s="26"/>
      <c r="F208" s="58"/>
    </row>
    <row r="209" spans="2:6">
      <c r="B209" s="42"/>
      <c r="D209" s="26"/>
      <c r="E209" s="26"/>
      <c r="F209" s="58"/>
    </row>
    <row r="210" spans="2:6">
      <c r="B210" s="42"/>
      <c r="D210" s="26"/>
      <c r="E210" s="26"/>
      <c r="F210" s="58"/>
    </row>
    <row r="211" spans="2:6">
      <c r="B211" s="42"/>
      <c r="D211" s="26"/>
      <c r="E211" s="26"/>
      <c r="F211" s="58"/>
    </row>
    <row r="212" spans="2:6">
      <c r="B212" s="42"/>
      <c r="D212" s="26"/>
      <c r="E212" s="26"/>
      <c r="F212" s="58"/>
    </row>
    <row r="213" spans="2:6">
      <c r="B213" s="42"/>
      <c r="D213" s="26"/>
      <c r="E213" s="26"/>
      <c r="F213" s="58"/>
    </row>
    <row r="214" spans="2:6">
      <c r="B214" s="42"/>
      <c r="D214" s="26"/>
      <c r="E214" s="26"/>
      <c r="F214" s="58"/>
    </row>
    <row r="215" spans="2:6">
      <c r="B215" s="42"/>
      <c r="D215" s="26"/>
      <c r="E215" s="26"/>
      <c r="F215" s="58"/>
    </row>
    <row r="216" spans="2:6">
      <c r="B216" s="42"/>
      <c r="D216" s="26"/>
      <c r="E216" s="26"/>
      <c r="F216" s="58"/>
    </row>
    <row r="217" spans="2:6">
      <c r="B217" s="42"/>
      <c r="D217" s="26"/>
      <c r="E217" s="26"/>
      <c r="F217" s="58"/>
    </row>
    <row r="218" spans="2:6">
      <c r="B218" s="42"/>
      <c r="D218" s="26"/>
      <c r="E218" s="26"/>
      <c r="F218" s="58"/>
    </row>
    <row r="219" spans="2:6">
      <c r="B219" s="42"/>
      <c r="D219" s="26"/>
      <c r="E219" s="26"/>
      <c r="F219" s="58"/>
    </row>
    <row r="220" spans="2:6">
      <c r="B220" s="42"/>
      <c r="D220" s="26"/>
      <c r="E220" s="26"/>
      <c r="F220" s="58"/>
    </row>
    <row r="221" spans="2:6">
      <c r="B221" s="42"/>
      <c r="D221" s="26"/>
      <c r="E221" s="26"/>
      <c r="F221" s="58"/>
    </row>
    <row r="222" spans="2:6">
      <c r="B222" s="42"/>
      <c r="D222" s="26"/>
      <c r="E222" s="26"/>
      <c r="F222" s="58"/>
    </row>
    <row r="223" spans="2:6">
      <c r="B223" s="42"/>
      <c r="D223" s="26"/>
      <c r="E223" s="26"/>
      <c r="F223" s="58"/>
    </row>
    <row r="224" spans="2:6">
      <c r="B224" s="42"/>
      <c r="D224" s="26"/>
      <c r="E224" s="26"/>
      <c r="F224" s="58"/>
    </row>
    <row r="225" spans="2:6">
      <c r="B225" s="42"/>
      <c r="D225" s="26"/>
      <c r="E225" s="26"/>
      <c r="F225" s="58"/>
    </row>
    <row r="226" spans="2:6">
      <c r="B226" s="42"/>
      <c r="D226" s="26"/>
      <c r="E226" s="26"/>
      <c r="F226" s="58"/>
    </row>
    <row r="227" spans="2:6">
      <c r="B227" s="42"/>
      <c r="D227" s="26"/>
      <c r="E227" s="26"/>
      <c r="F227" s="58"/>
    </row>
    <row r="228" spans="2:6">
      <c r="B228" s="42"/>
      <c r="D228" s="26"/>
      <c r="E228" s="26"/>
      <c r="F228" s="58"/>
    </row>
    <row r="229" spans="2:6">
      <c r="B229" s="42"/>
      <c r="D229" s="26"/>
      <c r="E229" s="26"/>
      <c r="F229" s="58"/>
    </row>
    <row r="230" spans="2:6">
      <c r="B230" s="42"/>
      <c r="D230" s="26"/>
      <c r="E230" s="26"/>
      <c r="F230" s="58"/>
    </row>
    <row r="231" spans="2:6">
      <c r="B231" s="42"/>
      <c r="D231" s="26"/>
      <c r="E231" s="26"/>
      <c r="F231" s="58"/>
    </row>
    <row r="232" spans="2:6">
      <c r="B232" s="42"/>
      <c r="D232" s="26"/>
      <c r="E232" s="26"/>
      <c r="F232" s="58"/>
    </row>
    <row r="233" spans="2:6">
      <c r="B233" s="42"/>
      <c r="D233" s="26"/>
      <c r="E233" s="26"/>
      <c r="F233" s="58"/>
    </row>
    <row r="234" spans="2:6">
      <c r="B234" s="42"/>
      <c r="D234" s="26"/>
      <c r="E234" s="26"/>
      <c r="F234" s="58"/>
    </row>
    <row r="235" spans="2:6">
      <c r="B235" s="42"/>
      <c r="D235" s="26"/>
      <c r="E235" s="26"/>
      <c r="F235" s="58"/>
    </row>
    <row r="236" spans="2:6">
      <c r="B236" s="42"/>
      <c r="D236" s="26"/>
      <c r="E236" s="26"/>
      <c r="F236" s="58"/>
    </row>
    <row r="237" spans="2:6">
      <c r="B237" s="42"/>
      <c r="D237" s="26"/>
      <c r="E237" s="26"/>
      <c r="F237" s="58"/>
    </row>
    <row r="238" spans="2:6">
      <c r="B238" s="42"/>
      <c r="D238" s="26"/>
      <c r="E238" s="26"/>
      <c r="F238" s="58"/>
    </row>
    <row r="239" spans="2:6">
      <c r="B239" s="42"/>
      <c r="D239" s="26"/>
      <c r="E239" s="26"/>
      <c r="F239" s="58"/>
    </row>
    <row r="240" spans="2:6">
      <c r="B240" s="42"/>
      <c r="D240" s="26"/>
      <c r="E240" s="26"/>
      <c r="F240" s="58"/>
    </row>
    <row r="241" spans="2:6">
      <c r="B241" s="42"/>
      <c r="D241" s="26"/>
      <c r="E241" s="26"/>
      <c r="F241" s="58"/>
    </row>
    <row r="242" spans="2:6">
      <c r="B242" s="42"/>
      <c r="D242" s="26"/>
      <c r="E242" s="26"/>
      <c r="F242" s="58"/>
    </row>
    <row r="243" spans="2:6">
      <c r="B243" s="42"/>
      <c r="D243" s="26"/>
      <c r="E243" s="26"/>
      <c r="F243" s="58"/>
    </row>
    <row r="244" spans="2:6">
      <c r="B244" s="42"/>
      <c r="D244" s="26"/>
      <c r="E244" s="26"/>
      <c r="F244" s="58"/>
    </row>
    <row r="245" spans="2:6">
      <c r="B245" s="42"/>
      <c r="D245" s="26"/>
      <c r="E245" s="26"/>
      <c r="F245" s="58"/>
    </row>
    <row r="246" spans="2:6">
      <c r="B246" s="42"/>
      <c r="D246" s="26"/>
      <c r="E246" s="26"/>
      <c r="F246" s="58"/>
    </row>
    <row r="247" spans="2:6">
      <c r="B247" s="42"/>
      <c r="D247" s="26"/>
      <c r="E247" s="26"/>
      <c r="F247" s="58"/>
    </row>
    <row r="248" spans="2:6">
      <c r="B248" s="42"/>
      <c r="D248" s="26"/>
      <c r="E248" s="26"/>
      <c r="F248" s="58"/>
    </row>
    <row r="249" spans="2:6">
      <c r="B249" s="42"/>
      <c r="D249" s="26"/>
      <c r="E249" s="26"/>
      <c r="F249" s="58"/>
    </row>
    <row r="250" spans="2:6">
      <c r="B250" s="42"/>
      <c r="D250" s="26"/>
      <c r="E250" s="26"/>
      <c r="F250" s="58"/>
    </row>
    <row r="251" spans="2:6">
      <c r="B251" s="42"/>
      <c r="D251" s="26"/>
      <c r="E251" s="26"/>
      <c r="F251" s="58"/>
    </row>
    <row r="252" spans="2:6">
      <c r="B252" s="42"/>
      <c r="D252" s="26"/>
      <c r="E252" s="26"/>
      <c r="F252" s="58"/>
    </row>
    <row r="253" spans="2:6">
      <c r="B253" s="42"/>
      <c r="D253" s="26"/>
      <c r="E253" s="26"/>
      <c r="F253" s="58"/>
    </row>
    <row r="254" spans="2:6">
      <c r="B254" s="42"/>
      <c r="D254" s="26"/>
      <c r="E254" s="26"/>
      <c r="F254" s="58"/>
    </row>
    <row r="255" spans="2:6">
      <c r="B255" s="42"/>
      <c r="D255" s="26"/>
      <c r="E255" s="26"/>
      <c r="F255" s="58"/>
    </row>
    <row r="256" spans="2:6">
      <c r="B256" s="42"/>
      <c r="D256" s="26"/>
      <c r="E256" s="26"/>
      <c r="F256" s="58"/>
    </row>
    <row r="257" spans="2:6">
      <c r="B257" s="42"/>
      <c r="D257" s="26"/>
      <c r="E257" s="26"/>
      <c r="F257" s="58"/>
    </row>
    <row r="258" spans="2:6">
      <c r="B258" s="42"/>
      <c r="D258" s="26"/>
      <c r="E258" s="26"/>
      <c r="F258" s="58"/>
    </row>
    <row r="259" spans="2:6">
      <c r="B259" s="42"/>
      <c r="D259" s="26"/>
      <c r="E259" s="26"/>
      <c r="F259" s="58"/>
    </row>
    <row r="260" spans="2:6">
      <c r="B260" s="42"/>
      <c r="D260" s="26"/>
      <c r="E260" s="26"/>
      <c r="F260" s="58"/>
    </row>
    <row r="261" spans="2:6">
      <c r="B261" s="42"/>
      <c r="D261" s="26"/>
      <c r="E261" s="26"/>
      <c r="F261" s="58"/>
    </row>
    <row r="262" spans="2:6">
      <c r="B262" s="42"/>
      <c r="D262" s="26"/>
      <c r="E262" s="26"/>
      <c r="F262" s="58"/>
    </row>
    <row r="263" spans="2:6">
      <c r="B263" s="42"/>
      <c r="D263" s="26"/>
      <c r="E263" s="26"/>
      <c r="F263" s="58"/>
    </row>
    <row r="264" spans="2:6">
      <c r="B264" s="42"/>
      <c r="D264" s="26"/>
      <c r="E264" s="26"/>
      <c r="F264" s="58"/>
    </row>
    <row r="265" spans="2:6">
      <c r="B265" s="42"/>
      <c r="D265" s="26"/>
      <c r="E265" s="26"/>
      <c r="F265" s="58"/>
    </row>
    <row r="266" spans="2:6">
      <c r="B266" s="42"/>
      <c r="D266" s="26"/>
      <c r="E266" s="26"/>
      <c r="F266" s="58"/>
    </row>
    <row r="267" spans="2:6">
      <c r="B267" s="42"/>
      <c r="D267" s="26"/>
      <c r="E267" s="26"/>
      <c r="F267" s="58"/>
    </row>
    <row r="268" spans="2:6">
      <c r="B268" s="42"/>
      <c r="D268" s="26"/>
      <c r="E268" s="26"/>
      <c r="F268" s="58"/>
    </row>
    <row r="269" spans="2:6">
      <c r="B269" s="42"/>
      <c r="D269" s="26"/>
      <c r="E269" s="26"/>
      <c r="F269" s="58"/>
    </row>
    <row r="270" spans="2:6">
      <c r="B270" s="42"/>
      <c r="D270" s="26"/>
      <c r="E270" s="26"/>
      <c r="F270" s="58"/>
    </row>
    <row r="271" spans="2:6">
      <c r="B271" s="42"/>
      <c r="D271" s="26"/>
      <c r="E271" s="26"/>
      <c r="F271" s="58"/>
    </row>
    <row r="272" spans="2:6">
      <c r="B272" s="42"/>
      <c r="D272" s="26"/>
      <c r="E272" s="26"/>
      <c r="F272" s="58"/>
    </row>
    <row r="273" spans="2:6">
      <c r="B273" s="42"/>
      <c r="D273" s="26"/>
      <c r="E273" s="26"/>
      <c r="F273" s="58"/>
    </row>
    <row r="274" spans="2:6">
      <c r="B274" s="42"/>
      <c r="D274" s="26"/>
      <c r="E274" s="26"/>
      <c r="F274" s="58"/>
    </row>
    <row r="275" spans="2:6">
      <c r="B275" s="42"/>
      <c r="D275" s="26"/>
      <c r="E275" s="26"/>
      <c r="F275" s="58"/>
    </row>
    <row r="276" spans="2:6">
      <c r="B276" s="42"/>
      <c r="D276" s="26"/>
      <c r="E276" s="26"/>
      <c r="F276" s="58"/>
    </row>
    <row r="277" spans="2:6">
      <c r="B277" s="42"/>
      <c r="D277" s="26"/>
      <c r="E277" s="26"/>
      <c r="F277" s="58"/>
    </row>
    <row r="278" spans="2:6">
      <c r="B278" s="42"/>
      <c r="D278" s="26"/>
      <c r="E278" s="26"/>
      <c r="F278" s="58"/>
    </row>
    <row r="279" spans="2:6">
      <c r="B279" s="42"/>
      <c r="D279" s="26"/>
      <c r="E279" s="26"/>
      <c r="F279" s="58"/>
    </row>
    <row r="280" spans="2:6">
      <c r="B280" s="42"/>
      <c r="D280" s="26"/>
      <c r="E280" s="26"/>
      <c r="F280" s="58"/>
    </row>
    <row r="281" spans="2:6">
      <c r="B281" s="42"/>
      <c r="D281" s="26"/>
      <c r="E281" s="26"/>
      <c r="F281" s="58"/>
    </row>
    <row r="282" spans="2:6">
      <c r="B282" s="42"/>
      <c r="D282" s="26"/>
      <c r="E282" s="26"/>
      <c r="F282" s="58"/>
    </row>
    <row r="283" spans="2:6">
      <c r="B283" s="42"/>
      <c r="D283" s="26"/>
      <c r="E283" s="26"/>
      <c r="F283" s="58"/>
    </row>
    <row r="284" spans="2:6">
      <c r="B284" s="42"/>
      <c r="D284" s="26"/>
      <c r="E284" s="26"/>
      <c r="F284" s="58"/>
    </row>
    <row r="285" spans="2:6">
      <c r="B285" s="42"/>
      <c r="D285" s="26"/>
      <c r="E285" s="26"/>
      <c r="F285" s="58"/>
    </row>
    <row r="286" spans="2:6">
      <c r="B286" s="42"/>
      <c r="D286" s="26"/>
      <c r="E286" s="26"/>
      <c r="F286" s="58"/>
    </row>
    <row r="287" spans="2:6">
      <c r="B287" s="42"/>
      <c r="D287" s="26"/>
      <c r="E287" s="26"/>
      <c r="F287" s="58"/>
    </row>
    <row r="288" spans="2:6">
      <c r="B288" s="42"/>
      <c r="D288" s="26"/>
      <c r="E288" s="26"/>
      <c r="F288" s="58"/>
    </row>
    <row r="289" spans="2:6">
      <c r="B289" s="42"/>
      <c r="D289" s="26"/>
      <c r="E289" s="26"/>
      <c r="F289" s="58"/>
    </row>
    <row r="290" spans="2:6">
      <c r="B290" s="42"/>
      <c r="D290" s="26"/>
      <c r="E290" s="26"/>
      <c r="F290" s="58"/>
    </row>
    <row r="291" spans="2:6">
      <c r="B291" s="42"/>
      <c r="D291" s="26"/>
      <c r="E291" s="26"/>
      <c r="F291" s="58"/>
    </row>
    <row r="292" spans="2:6">
      <c r="B292" s="42"/>
      <c r="D292" s="26"/>
      <c r="E292" s="26"/>
      <c r="F292" s="58"/>
    </row>
    <row r="293" spans="2:6">
      <c r="B293" s="42"/>
      <c r="D293" s="26"/>
      <c r="E293" s="26"/>
      <c r="F293" s="58"/>
    </row>
    <row r="294" spans="2:6">
      <c r="B294" s="42"/>
      <c r="D294" s="26"/>
      <c r="E294" s="26"/>
      <c r="F294" s="58"/>
    </row>
    <row r="295" spans="2:6">
      <c r="B295" s="42"/>
      <c r="D295" s="26"/>
      <c r="E295" s="26"/>
      <c r="F295" s="58"/>
    </row>
    <row r="296" spans="2:6">
      <c r="B296" s="42"/>
      <c r="D296" s="26"/>
      <c r="E296" s="26"/>
      <c r="F296" s="58"/>
    </row>
    <row r="297" spans="2:6">
      <c r="B297" s="42"/>
      <c r="D297" s="26"/>
      <c r="E297" s="26"/>
      <c r="F297" s="58"/>
    </row>
    <row r="298" spans="2:6">
      <c r="B298" s="42"/>
      <c r="D298" s="26"/>
      <c r="E298" s="26"/>
      <c r="F298" s="58"/>
    </row>
    <row r="299" spans="2:6">
      <c r="B299" s="42"/>
      <c r="D299" s="26"/>
      <c r="E299" s="26"/>
      <c r="F299" s="58"/>
    </row>
    <row r="300" spans="2:6">
      <c r="B300" s="42"/>
      <c r="D300" s="26"/>
      <c r="E300" s="26"/>
      <c r="F300" s="58"/>
    </row>
    <row r="301" spans="2:6">
      <c r="B301" s="42"/>
      <c r="D301" s="26"/>
      <c r="E301" s="26"/>
      <c r="F301" s="58"/>
    </row>
    <row r="302" spans="2:6">
      <c r="B302" s="42"/>
      <c r="D302" s="26"/>
      <c r="E302" s="26"/>
      <c r="F302" s="58"/>
    </row>
    <row r="303" spans="2:6">
      <c r="B303" s="42"/>
      <c r="D303" s="26"/>
      <c r="E303" s="26"/>
      <c r="F303" s="58"/>
    </row>
    <row r="304" spans="2:6">
      <c r="B304" s="42"/>
      <c r="D304" s="26"/>
      <c r="E304" s="26"/>
      <c r="F304" s="58"/>
    </row>
    <row r="305" spans="2:6">
      <c r="B305" s="42"/>
      <c r="D305" s="26"/>
      <c r="E305" s="26"/>
      <c r="F305" s="58"/>
    </row>
    <row r="306" spans="2:6">
      <c r="B306" s="42"/>
      <c r="D306" s="26"/>
      <c r="E306" s="26"/>
      <c r="F306" s="58"/>
    </row>
    <row r="307" spans="2:6">
      <c r="B307" s="42"/>
      <c r="D307" s="26"/>
      <c r="E307" s="26"/>
      <c r="F307" s="58"/>
    </row>
    <row r="308" spans="2:6">
      <c r="B308" s="42"/>
      <c r="D308" s="26"/>
      <c r="E308" s="26"/>
      <c r="F308" s="58"/>
    </row>
    <row r="309" spans="2:6">
      <c r="B309" s="42"/>
      <c r="D309" s="26"/>
      <c r="E309" s="26"/>
      <c r="F309" s="58"/>
    </row>
    <row r="310" spans="2:6">
      <c r="B310" s="42"/>
      <c r="D310" s="26"/>
      <c r="E310" s="26"/>
      <c r="F310" s="58"/>
    </row>
    <row r="311" spans="2:6">
      <c r="B311" s="42"/>
      <c r="D311" s="26"/>
      <c r="E311" s="26"/>
      <c r="F311" s="58"/>
    </row>
    <row r="312" spans="2:6">
      <c r="B312" s="42"/>
      <c r="D312" s="26"/>
      <c r="E312" s="26"/>
      <c r="F312" s="58"/>
    </row>
    <row r="313" spans="2:6">
      <c r="B313" s="42"/>
      <c r="D313" s="26"/>
      <c r="E313" s="26"/>
      <c r="F313" s="58"/>
    </row>
    <row r="314" spans="2:6">
      <c r="B314" s="42"/>
      <c r="D314" s="26"/>
      <c r="E314" s="26"/>
      <c r="F314" s="58"/>
    </row>
    <row r="315" spans="2:6">
      <c r="B315" s="42"/>
      <c r="D315" s="26"/>
      <c r="E315" s="26"/>
      <c r="F315" s="58"/>
    </row>
    <row r="316" spans="2:6">
      <c r="B316" s="42"/>
      <c r="D316" s="26"/>
      <c r="E316" s="26"/>
      <c r="F316" s="58"/>
    </row>
    <row r="317" spans="2:6">
      <c r="B317" s="42"/>
      <c r="D317" s="26"/>
      <c r="E317" s="26"/>
      <c r="F317" s="58"/>
    </row>
    <row r="318" spans="2:6">
      <c r="B318" s="42"/>
      <c r="D318" s="26"/>
      <c r="E318" s="26"/>
      <c r="F318" s="58"/>
    </row>
    <row r="319" spans="2:6">
      <c r="B319" s="42"/>
      <c r="D319" s="26"/>
      <c r="E319" s="26"/>
      <c r="F319" s="58"/>
    </row>
    <row r="320" spans="2:6">
      <c r="B320" s="42"/>
      <c r="D320" s="26"/>
      <c r="E320" s="26"/>
      <c r="F320" s="58"/>
    </row>
    <row r="321" spans="2:6">
      <c r="B321" s="42"/>
      <c r="D321" s="26"/>
      <c r="E321" s="26"/>
      <c r="F321" s="58"/>
    </row>
    <row r="322" spans="2:6">
      <c r="B322" s="42"/>
      <c r="D322" s="26"/>
      <c r="E322" s="26"/>
      <c r="F322" s="58"/>
    </row>
    <row r="323" spans="2:6">
      <c r="B323" s="42"/>
      <c r="D323" s="26"/>
      <c r="E323" s="26"/>
      <c r="F323" s="58"/>
    </row>
    <row r="324" spans="2:6">
      <c r="B324" s="42"/>
      <c r="D324" s="26"/>
      <c r="E324" s="26"/>
      <c r="F324" s="58"/>
    </row>
    <row r="325" spans="2:6">
      <c r="B325" s="42"/>
      <c r="D325" s="26"/>
      <c r="E325" s="26"/>
      <c r="F325" s="58"/>
    </row>
    <row r="326" spans="2:6">
      <c r="B326" s="42"/>
      <c r="D326" s="26"/>
      <c r="E326" s="26"/>
      <c r="F326" s="58"/>
    </row>
    <row r="327" spans="2:6">
      <c r="B327" s="42"/>
      <c r="D327" s="26"/>
      <c r="E327" s="26"/>
      <c r="F327" s="58"/>
    </row>
    <row r="328" spans="2:6">
      <c r="B328" s="42"/>
      <c r="D328" s="26"/>
      <c r="E328" s="26"/>
      <c r="F328" s="58"/>
    </row>
    <row r="329" spans="2:6">
      <c r="B329" s="42"/>
      <c r="D329" s="26"/>
      <c r="E329" s="26"/>
      <c r="F329" s="58"/>
    </row>
    <row r="330" spans="2:6">
      <c r="B330" s="42"/>
      <c r="D330" s="26"/>
      <c r="E330" s="26"/>
      <c r="F330" s="58"/>
    </row>
    <row r="331" spans="2:6">
      <c r="B331" s="42"/>
      <c r="D331" s="26"/>
      <c r="E331" s="26"/>
      <c r="F331" s="58"/>
    </row>
    <row r="332" spans="2:6">
      <c r="B332" s="42"/>
      <c r="D332" s="26"/>
      <c r="E332" s="26"/>
      <c r="F332" s="58"/>
    </row>
    <row r="333" spans="2:6">
      <c r="B333" s="42"/>
      <c r="D333" s="26"/>
      <c r="E333" s="26"/>
      <c r="F333" s="58"/>
    </row>
    <row r="334" spans="2:6">
      <c r="B334" s="42"/>
      <c r="D334" s="26"/>
      <c r="E334" s="26"/>
      <c r="F334" s="58"/>
    </row>
    <row r="335" spans="2:6">
      <c r="B335" s="42"/>
      <c r="D335" s="26"/>
      <c r="E335" s="26"/>
      <c r="F335" s="58"/>
    </row>
    <row r="336" spans="2:6">
      <c r="B336" s="42"/>
      <c r="D336" s="26"/>
      <c r="E336" s="26"/>
      <c r="F336" s="58"/>
    </row>
    <row r="337" spans="2:6">
      <c r="B337" s="42"/>
      <c r="D337" s="26"/>
      <c r="E337" s="26"/>
      <c r="F337" s="58"/>
    </row>
    <row r="338" spans="2:6">
      <c r="B338" s="42"/>
      <c r="D338" s="26"/>
      <c r="E338" s="26"/>
      <c r="F338" s="58"/>
    </row>
    <row r="339" spans="2:6">
      <c r="B339" s="42"/>
      <c r="D339" s="26"/>
      <c r="E339" s="26"/>
      <c r="F339" s="58"/>
    </row>
    <row r="340" spans="2:6">
      <c r="B340" s="42"/>
      <c r="D340" s="26"/>
      <c r="E340" s="26"/>
      <c r="F340" s="58"/>
    </row>
    <row r="341" spans="2:6">
      <c r="B341" s="42"/>
      <c r="D341" s="26"/>
      <c r="E341" s="26"/>
      <c r="F341" s="58"/>
    </row>
    <row r="342" spans="2:6">
      <c r="B342" s="42"/>
      <c r="D342" s="26"/>
      <c r="E342" s="26"/>
      <c r="F342" s="58"/>
    </row>
    <row r="343" spans="2:6">
      <c r="B343" s="42"/>
      <c r="D343" s="26"/>
      <c r="E343" s="26"/>
      <c r="F343" s="58"/>
    </row>
    <row r="344" spans="2:6">
      <c r="B344" s="42"/>
      <c r="D344" s="26"/>
      <c r="E344" s="26"/>
      <c r="F344" s="58"/>
    </row>
    <row r="345" spans="2:6">
      <c r="B345" s="42"/>
      <c r="D345" s="26"/>
      <c r="E345" s="26"/>
      <c r="F345" s="58"/>
    </row>
    <row r="346" spans="2:6">
      <c r="B346" s="42"/>
      <c r="D346" s="26"/>
      <c r="E346" s="26"/>
      <c r="F346" s="58"/>
    </row>
    <row r="347" spans="2:6">
      <c r="B347" s="42"/>
      <c r="D347" s="26"/>
      <c r="E347" s="26"/>
      <c r="F347" s="58"/>
    </row>
    <row r="348" spans="2:6">
      <c r="B348" s="42"/>
      <c r="D348" s="26"/>
      <c r="E348" s="26"/>
      <c r="F348" s="58"/>
    </row>
    <row r="349" spans="2:6">
      <c r="B349" s="42"/>
      <c r="D349" s="26"/>
      <c r="E349" s="26"/>
      <c r="F349" s="58"/>
    </row>
    <row r="350" spans="2:6">
      <c r="B350" s="42"/>
      <c r="D350" s="26"/>
      <c r="E350" s="26"/>
      <c r="F350" s="58"/>
    </row>
    <row r="351" spans="2:6">
      <c r="B351" s="42"/>
      <c r="D351" s="26"/>
      <c r="E351" s="26"/>
      <c r="F351" s="58"/>
    </row>
    <row r="352" spans="2:6">
      <c r="B352" s="42"/>
      <c r="D352" s="26"/>
      <c r="E352" s="26"/>
      <c r="F352" s="58"/>
    </row>
    <row r="353" spans="2:6">
      <c r="B353" s="42"/>
      <c r="D353" s="26"/>
      <c r="E353" s="26"/>
      <c r="F353" s="58"/>
    </row>
    <row r="354" spans="2:6">
      <c r="B354" s="42"/>
      <c r="D354" s="26"/>
      <c r="E354" s="26"/>
      <c r="F354" s="58"/>
    </row>
    <row r="355" spans="2:6">
      <c r="B355" s="42"/>
      <c r="D355" s="26"/>
      <c r="E355" s="26"/>
      <c r="F355" s="58"/>
    </row>
    <row r="356" spans="2:6">
      <c r="B356" s="42"/>
      <c r="D356" s="26"/>
      <c r="E356" s="26"/>
      <c r="F356" s="58"/>
    </row>
    <row r="357" spans="2:6">
      <c r="B357" s="42"/>
      <c r="D357" s="26"/>
      <c r="E357" s="26"/>
      <c r="F357" s="58"/>
    </row>
    <row r="358" spans="2:6">
      <c r="B358" s="42"/>
      <c r="D358" s="26"/>
      <c r="E358" s="26"/>
      <c r="F358" s="58"/>
    </row>
    <row r="359" spans="2:6">
      <c r="B359" s="42"/>
      <c r="D359" s="26"/>
      <c r="E359" s="26"/>
      <c r="F359" s="58"/>
    </row>
    <row r="360" spans="2:6">
      <c r="B360" s="42"/>
      <c r="D360" s="26"/>
      <c r="E360" s="26"/>
      <c r="F360" s="58"/>
    </row>
    <row r="361" spans="2:6">
      <c r="B361" s="42"/>
      <c r="D361" s="26"/>
      <c r="E361" s="26"/>
      <c r="F361" s="58"/>
    </row>
    <row r="362" spans="2:6">
      <c r="B362" s="42"/>
      <c r="D362" s="26"/>
      <c r="E362" s="26"/>
      <c r="F362" s="58"/>
    </row>
    <row r="363" spans="2:6">
      <c r="B363" s="42"/>
      <c r="D363" s="26"/>
      <c r="E363" s="26"/>
      <c r="F363" s="58"/>
    </row>
    <row r="364" spans="2:6">
      <c r="B364" s="42"/>
      <c r="D364" s="26"/>
      <c r="E364" s="26"/>
      <c r="F364" s="58"/>
    </row>
    <row r="365" spans="2:6">
      <c r="B365" s="42"/>
      <c r="D365" s="26"/>
      <c r="E365" s="26"/>
      <c r="F365" s="58"/>
    </row>
    <row r="366" spans="2:6">
      <c r="B366" s="42"/>
      <c r="D366" s="26"/>
      <c r="E366" s="26"/>
      <c r="F366" s="58"/>
    </row>
    <row r="367" spans="2:6">
      <c r="B367" s="42"/>
      <c r="D367" s="26"/>
      <c r="E367" s="26"/>
      <c r="F367" s="58"/>
    </row>
    <row r="368" spans="2:6">
      <c r="B368" s="42"/>
      <c r="D368" s="26"/>
      <c r="E368" s="26"/>
      <c r="F368" s="58"/>
    </row>
    <row r="369" spans="2:6">
      <c r="B369" s="42"/>
      <c r="D369" s="26"/>
      <c r="E369" s="26"/>
      <c r="F369" s="58"/>
    </row>
    <row r="370" spans="2:6">
      <c r="B370" s="42"/>
      <c r="D370" s="26"/>
      <c r="E370" s="26"/>
      <c r="F370" s="58"/>
    </row>
    <row r="371" spans="2:6">
      <c r="B371" s="42"/>
      <c r="D371" s="26"/>
      <c r="E371" s="26"/>
      <c r="F371" s="58"/>
    </row>
    <row r="372" spans="2:6">
      <c r="B372" s="42"/>
      <c r="D372" s="26"/>
      <c r="E372" s="26"/>
      <c r="F372" s="58"/>
    </row>
    <row r="373" spans="2:6">
      <c r="B373" s="42"/>
      <c r="D373" s="26"/>
      <c r="E373" s="26"/>
      <c r="F373" s="58"/>
    </row>
    <row r="374" spans="2:6">
      <c r="B374" s="42"/>
      <c r="D374" s="26"/>
      <c r="E374" s="26"/>
      <c r="F374" s="58"/>
    </row>
    <row r="375" spans="2:6">
      <c r="B375" s="42"/>
      <c r="D375" s="26"/>
      <c r="E375" s="26"/>
      <c r="F375" s="58"/>
    </row>
    <row r="376" spans="2:6">
      <c r="B376" s="42"/>
      <c r="D376" s="26"/>
      <c r="E376" s="26"/>
      <c r="F376" s="58"/>
    </row>
    <row r="377" spans="2:6">
      <c r="B377" s="42"/>
      <c r="D377" s="26"/>
      <c r="E377" s="26"/>
      <c r="F377" s="58"/>
    </row>
    <row r="378" spans="2:6">
      <c r="B378" s="42"/>
      <c r="D378" s="26"/>
      <c r="E378" s="26"/>
      <c r="F378" s="58"/>
    </row>
    <row r="379" spans="2:6">
      <c r="B379" s="42"/>
      <c r="D379" s="26"/>
      <c r="E379" s="26"/>
      <c r="F379" s="58"/>
    </row>
    <row r="380" spans="2:6">
      <c r="B380" s="42"/>
      <c r="D380" s="26"/>
      <c r="E380" s="26"/>
      <c r="F380" s="58"/>
    </row>
    <row r="381" spans="2:6">
      <c r="B381" s="42"/>
      <c r="D381" s="26"/>
      <c r="E381" s="26"/>
      <c r="F381" s="58"/>
    </row>
    <row r="382" spans="2:6">
      <c r="B382" s="42"/>
      <c r="D382" s="26"/>
      <c r="E382" s="26"/>
      <c r="F382" s="58"/>
    </row>
    <row r="383" spans="2:6">
      <c r="B383" s="42"/>
      <c r="D383" s="26"/>
      <c r="E383" s="26"/>
      <c r="F383" s="58"/>
    </row>
    <row r="384" spans="2:6">
      <c r="B384" s="42"/>
      <c r="D384" s="26"/>
      <c r="E384" s="26"/>
      <c r="F384" s="58"/>
    </row>
    <row r="385" spans="2:6">
      <c r="B385" s="42"/>
      <c r="D385" s="26"/>
      <c r="E385" s="26"/>
      <c r="F385" s="58"/>
    </row>
    <row r="386" spans="2:6">
      <c r="B386" s="42"/>
      <c r="D386" s="26"/>
      <c r="E386" s="26"/>
      <c r="F386" s="58"/>
    </row>
    <row r="387" spans="2:6">
      <c r="B387" s="42"/>
      <c r="D387" s="26"/>
      <c r="E387" s="26"/>
      <c r="F387" s="58"/>
    </row>
    <row r="388" spans="2:6">
      <c r="B388" s="42"/>
      <c r="D388" s="26"/>
      <c r="E388" s="26"/>
      <c r="F388" s="58"/>
    </row>
    <row r="389" spans="2:6">
      <c r="B389" s="42"/>
      <c r="D389" s="26"/>
      <c r="E389" s="26"/>
      <c r="F389" s="58"/>
    </row>
    <row r="390" spans="2:6">
      <c r="B390" s="42"/>
      <c r="D390" s="26"/>
      <c r="E390" s="26"/>
      <c r="F390" s="58"/>
    </row>
    <row r="391" spans="2:6">
      <c r="B391" s="42"/>
      <c r="D391" s="26"/>
      <c r="E391" s="26"/>
      <c r="F391" s="58"/>
    </row>
    <row r="392" spans="2:6">
      <c r="B392" s="42"/>
      <c r="D392" s="26"/>
      <c r="E392" s="26"/>
      <c r="F392" s="58"/>
    </row>
    <row r="393" spans="2:6">
      <c r="B393" s="42"/>
      <c r="D393" s="26"/>
      <c r="E393" s="26"/>
      <c r="F393" s="58"/>
    </row>
    <row r="394" spans="2:6">
      <c r="B394" s="42"/>
      <c r="D394" s="26"/>
      <c r="E394" s="26"/>
      <c r="F394" s="58"/>
    </row>
    <row r="395" spans="2:6">
      <c r="B395" s="42"/>
      <c r="D395" s="26"/>
      <c r="E395" s="26"/>
      <c r="F395" s="58"/>
    </row>
    <row r="396" spans="2:6">
      <c r="B396" s="42"/>
      <c r="D396" s="26"/>
      <c r="E396" s="26"/>
      <c r="F396" s="58"/>
    </row>
    <row r="397" spans="2:6">
      <c r="B397" s="42"/>
      <c r="D397" s="26"/>
      <c r="E397" s="26"/>
      <c r="F397" s="58"/>
    </row>
    <row r="398" spans="2:6">
      <c r="B398" s="42"/>
      <c r="D398" s="26"/>
      <c r="E398" s="26"/>
      <c r="F398" s="58"/>
    </row>
    <row r="399" spans="2:6">
      <c r="B399" s="42"/>
      <c r="D399" s="26"/>
      <c r="E399" s="26"/>
      <c r="F399" s="58"/>
    </row>
    <row r="400" spans="2:6">
      <c r="B400" s="42"/>
      <c r="D400" s="26"/>
      <c r="E400" s="26"/>
      <c r="F400" s="58"/>
    </row>
    <row r="401" spans="2:6">
      <c r="B401" s="42"/>
      <c r="D401" s="26"/>
      <c r="E401" s="26"/>
      <c r="F401" s="58"/>
    </row>
    <row r="402" spans="2:6">
      <c r="B402" s="42"/>
      <c r="D402" s="26"/>
      <c r="E402" s="26"/>
      <c r="F402" s="58"/>
    </row>
    <row r="403" spans="2:6">
      <c r="B403" s="42"/>
      <c r="D403" s="26"/>
      <c r="E403" s="26"/>
      <c r="F403" s="58"/>
    </row>
    <row r="404" spans="2:6">
      <c r="B404" s="42"/>
      <c r="D404" s="26"/>
      <c r="E404" s="26"/>
      <c r="F404" s="58"/>
    </row>
    <row r="405" spans="2:6">
      <c r="B405" s="42"/>
      <c r="D405" s="26"/>
      <c r="E405" s="26"/>
      <c r="F405" s="58"/>
    </row>
    <row r="406" spans="2:6">
      <c r="B406" s="42"/>
      <c r="D406" s="26"/>
      <c r="E406" s="26"/>
      <c r="F406" s="58"/>
    </row>
    <row r="407" spans="2:6">
      <c r="B407" s="42"/>
      <c r="D407" s="26"/>
      <c r="E407" s="26"/>
      <c r="F407" s="58"/>
    </row>
    <row r="408" spans="2:6">
      <c r="B408" s="42"/>
      <c r="D408" s="26"/>
      <c r="E408" s="26"/>
      <c r="F408" s="58"/>
    </row>
    <row r="409" spans="2:6">
      <c r="B409" s="42"/>
      <c r="D409" s="26"/>
      <c r="E409" s="26"/>
      <c r="F409" s="58"/>
    </row>
    <row r="410" spans="2:6">
      <c r="B410" s="42"/>
      <c r="D410" s="26"/>
      <c r="E410" s="26"/>
      <c r="F410" s="58"/>
    </row>
    <row r="411" spans="2:6">
      <c r="B411" s="42"/>
      <c r="D411" s="26"/>
      <c r="E411" s="26"/>
      <c r="F411" s="58"/>
    </row>
    <row r="412" spans="2:6">
      <c r="B412" s="42"/>
      <c r="D412" s="26"/>
      <c r="E412" s="26"/>
      <c r="F412" s="58"/>
    </row>
    <row r="413" spans="2:6">
      <c r="B413" s="42"/>
      <c r="D413" s="26"/>
      <c r="E413" s="26"/>
      <c r="F413" s="58"/>
    </row>
    <row r="414" spans="2:6">
      <c r="B414" s="42"/>
      <c r="D414" s="26"/>
      <c r="E414" s="26"/>
      <c r="F414" s="58"/>
    </row>
    <row r="415" spans="2:6">
      <c r="B415" s="42"/>
      <c r="D415" s="26"/>
      <c r="E415" s="26"/>
      <c r="F415" s="58"/>
    </row>
    <row r="416" spans="2:6">
      <c r="B416" s="42"/>
      <c r="D416" s="26"/>
      <c r="E416" s="26"/>
      <c r="F416" s="58"/>
    </row>
    <row r="417" spans="2:6">
      <c r="B417" s="42"/>
      <c r="D417" s="26"/>
      <c r="E417" s="26"/>
      <c r="F417" s="58"/>
    </row>
    <row r="418" spans="2:6">
      <c r="B418" s="42"/>
      <c r="D418" s="26"/>
      <c r="E418" s="26"/>
      <c r="F418" s="58"/>
    </row>
    <row r="419" spans="2:6">
      <c r="B419" s="42"/>
      <c r="D419" s="26"/>
      <c r="E419" s="26"/>
      <c r="F419" s="58"/>
    </row>
    <row r="420" spans="2:6">
      <c r="B420" s="42"/>
      <c r="D420" s="26"/>
      <c r="E420" s="26"/>
      <c r="F420" s="58"/>
    </row>
    <row r="421" spans="2:6">
      <c r="B421" s="42"/>
      <c r="D421" s="26"/>
      <c r="E421" s="26"/>
      <c r="F421" s="58"/>
    </row>
    <row r="422" spans="2:6">
      <c r="B422" s="42"/>
      <c r="D422" s="26"/>
      <c r="E422" s="26"/>
      <c r="F422" s="58"/>
    </row>
    <row r="423" spans="2:6">
      <c r="B423" s="42"/>
      <c r="D423" s="26"/>
      <c r="E423" s="26"/>
      <c r="F423" s="58"/>
    </row>
    <row r="424" spans="2:6">
      <c r="B424" s="42"/>
      <c r="D424" s="26"/>
      <c r="E424" s="26"/>
      <c r="F424" s="58"/>
    </row>
    <row r="425" spans="2:6">
      <c r="B425" s="42"/>
      <c r="D425" s="26"/>
      <c r="E425" s="26"/>
      <c r="F425" s="58"/>
    </row>
    <row r="426" spans="2:6">
      <c r="B426" s="42"/>
      <c r="D426" s="26"/>
      <c r="E426" s="26"/>
      <c r="F426" s="58"/>
    </row>
    <row r="427" spans="2:6">
      <c r="B427" s="42"/>
      <c r="D427" s="26"/>
      <c r="E427" s="26"/>
      <c r="F427" s="58"/>
    </row>
    <row r="428" spans="2:6">
      <c r="B428" s="42"/>
      <c r="D428" s="26"/>
      <c r="E428" s="26"/>
      <c r="F428" s="58"/>
    </row>
    <row r="429" spans="2:6">
      <c r="B429" s="42"/>
      <c r="D429" s="26"/>
      <c r="E429" s="26"/>
      <c r="F429" s="58"/>
    </row>
    <row r="430" spans="2:6">
      <c r="B430" s="42"/>
      <c r="D430" s="26"/>
      <c r="E430" s="26"/>
      <c r="F430" s="58"/>
    </row>
    <row r="431" spans="2:6">
      <c r="B431" s="42"/>
      <c r="D431" s="26"/>
      <c r="E431" s="26"/>
      <c r="F431" s="58"/>
    </row>
    <row r="432" spans="2:6">
      <c r="B432" s="42"/>
      <c r="D432" s="26"/>
      <c r="E432" s="26"/>
      <c r="F432" s="58"/>
    </row>
    <row r="433" spans="2:6">
      <c r="B433" s="42"/>
      <c r="D433" s="26"/>
      <c r="E433" s="26"/>
      <c r="F433" s="58"/>
    </row>
    <row r="434" spans="2:6">
      <c r="B434" s="42"/>
      <c r="D434" s="26"/>
      <c r="E434" s="26"/>
      <c r="F434" s="58"/>
    </row>
    <row r="435" spans="2:6">
      <c r="B435" s="42"/>
      <c r="D435" s="26"/>
      <c r="E435" s="26"/>
      <c r="F435" s="58"/>
    </row>
    <row r="436" spans="2:6">
      <c r="B436" s="42"/>
      <c r="D436" s="26"/>
      <c r="E436" s="26"/>
      <c r="F436" s="58"/>
    </row>
    <row r="437" spans="2:6">
      <c r="B437" s="42"/>
      <c r="D437" s="26"/>
      <c r="E437" s="26"/>
      <c r="F437" s="58"/>
    </row>
    <row r="438" spans="2:6">
      <c r="B438" s="42"/>
      <c r="D438" s="26"/>
      <c r="E438" s="26"/>
      <c r="F438" s="58"/>
    </row>
    <row r="439" spans="2:6">
      <c r="B439" s="42"/>
      <c r="D439" s="26"/>
      <c r="E439" s="26"/>
      <c r="F439" s="58"/>
    </row>
    <row r="440" spans="2:6">
      <c r="B440" s="42"/>
      <c r="D440" s="26"/>
      <c r="E440" s="26"/>
      <c r="F440" s="58"/>
    </row>
    <row r="441" spans="2:6">
      <c r="B441" s="42"/>
      <c r="D441" s="26"/>
      <c r="E441" s="26"/>
      <c r="F441" s="58"/>
    </row>
    <row r="442" spans="2:6">
      <c r="B442" s="42"/>
      <c r="D442" s="26"/>
      <c r="E442" s="26"/>
      <c r="F442" s="58"/>
    </row>
    <row r="443" spans="2:6">
      <c r="B443" s="42"/>
      <c r="D443" s="26"/>
      <c r="E443" s="26"/>
      <c r="F443" s="58"/>
    </row>
    <row r="444" spans="2:6">
      <c r="B444" s="42"/>
      <c r="D444" s="26"/>
      <c r="E444" s="26"/>
      <c r="F444" s="58"/>
    </row>
    <row r="445" spans="2:6">
      <c r="B445" s="42"/>
      <c r="D445" s="26"/>
      <c r="E445" s="26"/>
      <c r="F445" s="58"/>
    </row>
    <row r="446" spans="2:6">
      <c r="B446" s="42"/>
      <c r="D446" s="26"/>
      <c r="E446" s="26"/>
      <c r="F446" s="58"/>
    </row>
    <row r="447" spans="2:6">
      <c r="B447" s="42"/>
      <c r="D447" s="26"/>
      <c r="E447" s="26"/>
      <c r="F447" s="58"/>
    </row>
    <row r="448" spans="2:6">
      <c r="B448" s="42"/>
      <c r="D448" s="26"/>
      <c r="E448" s="26"/>
      <c r="F448" s="58"/>
    </row>
    <row r="449" spans="2:6">
      <c r="B449" s="42"/>
      <c r="D449" s="26"/>
      <c r="E449" s="26"/>
      <c r="F449" s="58"/>
    </row>
    <row r="450" spans="2:6">
      <c r="B450" s="42"/>
      <c r="D450" s="26"/>
      <c r="E450" s="26"/>
      <c r="F450" s="58"/>
    </row>
    <row r="451" spans="2:6">
      <c r="B451" s="42"/>
      <c r="D451" s="26"/>
      <c r="E451" s="26"/>
      <c r="F451" s="58"/>
    </row>
    <row r="452" spans="2:6">
      <c r="B452" s="42"/>
      <c r="D452" s="26"/>
      <c r="E452" s="26"/>
      <c r="F452" s="58"/>
    </row>
    <row r="453" spans="2:6">
      <c r="B453" s="42"/>
      <c r="D453" s="26"/>
      <c r="E453" s="26"/>
      <c r="F453" s="58"/>
    </row>
    <row r="454" spans="2:6">
      <c r="B454" s="42"/>
      <c r="D454" s="26"/>
      <c r="E454" s="26"/>
      <c r="F454" s="58"/>
    </row>
    <row r="455" spans="2:6">
      <c r="B455" s="42"/>
      <c r="D455" s="26"/>
      <c r="E455" s="26"/>
      <c r="F455" s="58"/>
    </row>
    <row r="456" spans="2:6">
      <c r="B456" s="42"/>
      <c r="D456" s="26"/>
      <c r="E456" s="26"/>
      <c r="F456" s="58"/>
    </row>
    <row r="457" spans="2:6">
      <c r="B457" s="42"/>
      <c r="D457" s="26"/>
      <c r="E457" s="26"/>
      <c r="F457" s="58"/>
    </row>
    <row r="458" spans="2:6">
      <c r="B458" s="42"/>
      <c r="D458" s="26"/>
      <c r="E458" s="26"/>
      <c r="F458" s="58"/>
    </row>
    <row r="459" spans="2:6">
      <c r="B459" s="42"/>
      <c r="D459" s="26"/>
      <c r="E459" s="26"/>
      <c r="F459" s="58"/>
    </row>
    <row r="460" spans="2:6">
      <c r="B460" s="42"/>
      <c r="D460" s="26"/>
      <c r="E460" s="26"/>
      <c r="F460" s="58"/>
    </row>
    <row r="461" spans="2:6">
      <c r="B461" s="42"/>
      <c r="D461" s="26"/>
      <c r="E461" s="26"/>
      <c r="F461" s="58"/>
    </row>
    <row r="462" spans="2:6">
      <c r="B462" s="42"/>
      <c r="D462" s="26"/>
      <c r="E462" s="26"/>
      <c r="F462" s="58"/>
    </row>
    <row r="463" spans="2:6">
      <c r="B463" s="42"/>
      <c r="D463" s="26"/>
      <c r="E463" s="26"/>
      <c r="F463" s="58"/>
    </row>
    <row r="464" spans="2:6">
      <c r="B464" s="42"/>
      <c r="D464" s="26"/>
      <c r="E464" s="26"/>
      <c r="F464" s="58"/>
    </row>
    <row r="465" spans="2:6">
      <c r="B465" s="42"/>
      <c r="D465" s="26"/>
      <c r="E465" s="26"/>
      <c r="F465" s="58"/>
    </row>
    <row r="466" spans="2:6">
      <c r="B466" s="42"/>
      <c r="D466" s="26"/>
      <c r="E466" s="26"/>
      <c r="F466" s="58"/>
    </row>
    <row r="467" spans="2:6">
      <c r="B467" s="42"/>
      <c r="D467" s="26"/>
      <c r="E467" s="26"/>
      <c r="F467" s="58"/>
    </row>
    <row r="468" spans="2:6">
      <c r="B468" s="42"/>
      <c r="D468" s="26"/>
      <c r="E468" s="26"/>
      <c r="F468" s="58"/>
    </row>
    <row r="469" spans="2:6">
      <c r="B469" s="42"/>
      <c r="D469" s="26"/>
      <c r="E469" s="26"/>
      <c r="F469" s="58"/>
    </row>
    <row r="470" spans="2:6">
      <c r="B470" s="42"/>
      <c r="D470" s="26"/>
      <c r="E470" s="26"/>
      <c r="F470" s="58"/>
    </row>
    <row r="471" spans="2:6">
      <c r="B471" s="42"/>
      <c r="D471" s="26"/>
      <c r="E471" s="26"/>
      <c r="F471" s="58"/>
    </row>
    <row r="472" spans="2:6">
      <c r="B472" s="42"/>
      <c r="D472" s="26"/>
      <c r="E472" s="26"/>
      <c r="F472" s="58"/>
    </row>
    <row r="473" spans="2:6">
      <c r="B473" s="42"/>
      <c r="D473" s="26"/>
      <c r="E473" s="26"/>
      <c r="F473" s="58"/>
    </row>
    <row r="474" spans="2:6">
      <c r="B474" s="42"/>
      <c r="D474" s="26"/>
      <c r="E474" s="26"/>
      <c r="F474" s="58"/>
    </row>
    <row r="475" spans="2:6">
      <c r="B475" s="42"/>
      <c r="D475" s="26"/>
      <c r="E475" s="26"/>
      <c r="F475" s="58"/>
    </row>
    <row r="476" spans="2:6">
      <c r="B476" s="42"/>
      <c r="D476" s="26"/>
      <c r="E476" s="26"/>
      <c r="F476" s="58"/>
    </row>
    <row r="477" spans="2:6">
      <c r="B477" s="42"/>
      <c r="D477" s="26"/>
      <c r="E477" s="26"/>
      <c r="F477" s="58"/>
    </row>
    <row r="478" spans="2:6">
      <c r="B478" s="42"/>
      <c r="D478" s="26"/>
      <c r="E478" s="26"/>
      <c r="F478" s="58"/>
    </row>
    <row r="479" spans="2:6">
      <c r="B479" s="42"/>
      <c r="D479" s="26"/>
      <c r="E479" s="26"/>
      <c r="F479" s="58"/>
    </row>
    <row r="480" spans="2:6">
      <c r="B480" s="42"/>
      <c r="D480" s="26"/>
      <c r="E480" s="26"/>
      <c r="F480" s="58"/>
    </row>
    <row r="481" spans="2:6">
      <c r="B481" s="42"/>
      <c r="D481" s="26"/>
      <c r="E481" s="26"/>
      <c r="F481" s="58"/>
    </row>
    <row r="482" spans="2:6">
      <c r="B482" s="42"/>
      <c r="D482" s="26"/>
      <c r="E482" s="26"/>
      <c r="F482" s="58"/>
    </row>
    <row r="483" spans="2:6">
      <c r="B483" s="42"/>
      <c r="D483" s="26"/>
      <c r="E483" s="26"/>
      <c r="F483" s="58"/>
    </row>
    <row r="484" spans="2:6">
      <c r="B484" s="42"/>
      <c r="D484" s="26"/>
      <c r="E484" s="26"/>
      <c r="F484" s="58"/>
    </row>
    <row r="485" spans="2:6">
      <c r="B485" s="42"/>
      <c r="D485" s="26"/>
      <c r="E485" s="26"/>
      <c r="F485" s="58"/>
    </row>
    <row r="486" spans="2:6">
      <c r="B486" s="42"/>
      <c r="D486" s="26"/>
      <c r="E486" s="26"/>
      <c r="F486" s="58"/>
    </row>
    <row r="487" spans="2:6">
      <c r="B487" s="42"/>
      <c r="D487" s="26"/>
      <c r="E487" s="26"/>
      <c r="F487" s="58"/>
    </row>
    <row r="488" spans="2:6">
      <c r="B488" s="42"/>
      <c r="D488" s="26"/>
      <c r="E488" s="26"/>
      <c r="F488" s="58"/>
    </row>
    <row r="489" spans="2:6">
      <c r="B489" s="42"/>
      <c r="D489" s="26"/>
      <c r="E489" s="26"/>
      <c r="F489" s="58"/>
    </row>
    <row r="490" spans="2:6">
      <c r="B490" s="42"/>
      <c r="D490" s="26"/>
      <c r="E490" s="26"/>
      <c r="F490" s="58"/>
    </row>
    <row r="491" spans="2:6">
      <c r="B491" s="42"/>
      <c r="D491" s="26"/>
      <c r="E491" s="26"/>
      <c r="F491" s="58"/>
    </row>
    <row r="492" spans="2:6">
      <c r="B492" s="42"/>
      <c r="D492" s="26"/>
      <c r="E492" s="26"/>
      <c r="F492" s="58"/>
    </row>
    <row r="493" spans="2:6">
      <c r="B493" s="42"/>
      <c r="D493" s="26"/>
      <c r="E493" s="26"/>
      <c r="F493" s="58"/>
    </row>
    <row r="494" spans="2:6">
      <c r="B494" s="42"/>
      <c r="D494" s="26"/>
      <c r="E494" s="26"/>
      <c r="F494" s="58"/>
    </row>
    <row r="495" spans="2:6">
      <c r="B495" s="42"/>
      <c r="D495" s="26"/>
      <c r="E495" s="26"/>
      <c r="F495" s="58"/>
    </row>
    <row r="496" spans="2:6">
      <c r="B496" s="42"/>
      <c r="D496" s="26"/>
      <c r="E496" s="26"/>
      <c r="F496" s="58"/>
    </row>
    <row r="497" spans="2:6">
      <c r="B497" s="42"/>
      <c r="D497" s="26"/>
      <c r="E497" s="26"/>
      <c r="F497" s="58"/>
    </row>
    <row r="498" spans="2:6">
      <c r="B498" s="42"/>
      <c r="D498" s="26"/>
      <c r="E498" s="26"/>
      <c r="F498" s="58"/>
    </row>
    <row r="499" spans="2:6">
      <c r="B499" s="42"/>
      <c r="D499" s="26"/>
      <c r="E499" s="26"/>
      <c r="F499" s="58"/>
    </row>
    <row r="500" spans="2:6">
      <c r="B500" s="42"/>
      <c r="D500" s="26"/>
      <c r="E500" s="26"/>
      <c r="F500" s="58"/>
    </row>
    <row r="501" spans="2:6">
      <c r="B501" s="42"/>
      <c r="D501" s="26"/>
      <c r="E501" s="26"/>
      <c r="F501" s="58"/>
    </row>
    <row r="502" spans="2:6">
      <c r="B502" s="42"/>
      <c r="D502" s="26"/>
      <c r="E502" s="26"/>
      <c r="F502" s="58"/>
    </row>
    <row r="503" spans="2:6">
      <c r="B503" s="42"/>
      <c r="D503" s="26"/>
      <c r="E503" s="26"/>
      <c r="F503" s="58"/>
    </row>
    <row r="504" spans="2:6">
      <c r="B504" s="42"/>
      <c r="D504" s="26"/>
      <c r="E504" s="26"/>
      <c r="F504" s="58"/>
    </row>
    <row r="505" spans="2:6">
      <c r="B505" s="42"/>
      <c r="D505" s="26"/>
      <c r="E505" s="26"/>
      <c r="F505" s="58"/>
    </row>
    <row r="506" spans="2:6">
      <c r="B506" s="42"/>
      <c r="D506" s="26"/>
      <c r="E506" s="26"/>
      <c r="F506" s="58"/>
    </row>
    <row r="507" spans="2:6">
      <c r="B507" s="42"/>
      <c r="D507" s="26"/>
      <c r="E507" s="26"/>
      <c r="F507" s="58"/>
    </row>
    <row r="508" spans="2:6">
      <c r="B508" s="42"/>
      <c r="D508" s="26"/>
      <c r="E508" s="26"/>
      <c r="F508" s="58"/>
    </row>
    <row r="509" spans="2:6">
      <c r="B509" s="42"/>
      <c r="D509" s="26"/>
      <c r="E509" s="26"/>
      <c r="F509" s="58"/>
    </row>
    <row r="510" spans="2:6">
      <c r="B510" s="42"/>
      <c r="D510" s="26"/>
      <c r="E510" s="26"/>
      <c r="F510" s="58"/>
    </row>
    <row r="511" spans="2:6">
      <c r="B511" s="42"/>
      <c r="D511" s="26"/>
      <c r="E511" s="26"/>
      <c r="F511" s="58"/>
    </row>
    <row r="512" spans="2:6">
      <c r="B512" s="42"/>
      <c r="D512" s="26"/>
      <c r="E512" s="26"/>
      <c r="F512" s="58"/>
    </row>
    <row r="513" spans="2:6">
      <c r="B513" s="42"/>
      <c r="D513" s="26"/>
      <c r="E513" s="26"/>
      <c r="F513" s="58"/>
    </row>
    <row r="514" spans="2:6">
      <c r="B514" s="42"/>
      <c r="D514" s="26"/>
      <c r="E514" s="26"/>
      <c r="F514" s="58"/>
    </row>
    <row r="515" spans="2:6">
      <c r="B515" s="42"/>
      <c r="D515" s="26"/>
      <c r="E515" s="26"/>
      <c r="F515" s="58"/>
    </row>
    <row r="516" spans="2:6">
      <c r="B516" s="42"/>
      <c r="D516" s="26"/>
      <c r="E516" s="26"/>
      <c r="F516" s="58"/>
    </row>
    <row r="517" spans="2:6">
      <c r="B517" s="42"/>
      <c r="D517" s="26"/>
      <c r="E517" s="26"/>
      <c r="F517" s="58"/>
    </row>
    <row r="518" spans="2:6">
      <c r="B518" s="42"/>
      <c r="D518" s="26"/>
      <c r="E518" s="26"/>
      <c r="F518" s="58"/>
    </row>
    <row r="519" spans="2:6">
      <c r="B519" s="42"/>
      <c r="D519" s="26"/>
      <c r="E519" s="26"/>
      <c r="F519" s="58"/>
    </row>
    <row r="520" spans="2:6">
      <c r="B520" s="42"/>
      <c r="D520" s="26"/>
      <c r="E520" s="26"/>
      <c r="F520" s="58"/>
    </row>
    <row r="521" spans="2:6">
      <c r="B521" s="42"/>
      <c r="D521" s="26"/>
      <c r="E521" s="26"/>
      <c r="F521" s="58"/>
    </row>
    <row r="522" spans="2:6">
      <c r="B522" s="42"/>
      <c r="D522" s="26"/>
      <c r="E522" s="26"/>
      <c r="F522" s="58"/>
    </row>
    <row r="523" spans="2:6">
      <c r="B523" s="42"/>
      <c r="D523" s="26"/>
      <c r="E523" s="26"/>
      <c r="F523" s="58"/>
    </row>
    <row r="524" spans="2:6">
      <c r="B524" s="42"/>
      <c r="D524" s="26"/>
      <c r="E524" s="26"/>
      <c r="F524" s="58"/>
    </row>
    <row r="525" spans="2:6">
      <c r="B525" s="42"/>
      <c r="D525" s="26"/>
      <c r="E525" s="26"/>
      <c r="F525" s="58"/>
    </row>
    <row r="526" spans="2:6">
      <c r="B526" s="42"/>
      <c r="D526" s="26"/>
      <c r="E526" s="26"/>
      <c r="F526" s="58"/>
    </row>
    <row r="527" spans="2:6">
      <c r="B527" s="42"/>
      <c r="D527" s="26"/>
      <c r="E527" s="26"/>
      <c r="F527" s="58"/>
    </row>
    <row r="528" spans="2:6">
      <c r="B528" s="42"/>
      <c r="D528" s="26"/>
      <c r="E528" s="26"/>
      <c r="F528" s="58"/>
    </row>
    <row r="529" spans="2:6">
      <c r="B529" s="42"/>
      <c r="D529" s="26"/>
      <c r="E529" s="26"/>
      <c r="F529" s="58"/>
    </row>
    <row r="530" spans="2:6">
      <c r="B530" s="42"/>
      <c r="D530" s="26"/>
      <c r="E530" s="26"/>
      <c r="F530" s="58"/>
    </row>
    <row r="531" spans="2:6">
      <c r="B531" s="42"/>
      <c r="D531" s="26"/>
      <c r="E531" s="26"/>
      <c r="F531" s="58"/>
    </row>
    <row r="532" spans="2:6">
      <c r="B532" s="42"/>
      <c r="D532" s="26"/>
      <c r="E532" s="26"/>
      <c r="F532" s="58"/>
    </row>
    <row r="533" spans="2:6">
      <c r="B533" s="42"/>
      <c r="D533" s="26"/>
      <c r="E533" s="26"/>
      <c r="F533" s="58"/>
    </row>
    <row r="534" spans="2:6">
      <c r="B534" s="42"/>
      <c r="D534" s="26"/>
      <c r="E534" s="26"/>
      <c r="F534" s="58"/>
    </row>
    <row r="535" spans="2:6">
      <c r="B535" s="42"/>
      <c r="D535" s="26"/>
      <c r="E535" s="26"/>
      <c r="F535" s="58"/>
    </row>
    <row r="536" spans="2:6">
      <c r="B536" s="42"/>
      <c r="D536" s="26"/>
      <c r="E536" s="26"/>
      <c r="F536" s="58"/>
    </row>
    <row r="537" spans="2:6">
      <c r="B537" s="42"/>
      <c r="D537" s="26"/>
      <c r="E537" s="26"/>
      <c r="F537" s="58"/>
    </row>
    <row r="538" spans="2:6">
      <c r="B538" s="42"/>
      <c r="D538" s="26"/>
      <c r="E538" s="26"/>
      <c r="F538" s="58"/>
    </row>
    <row r="539" spans="2:6">
      <c r="B539" s="42"/>
      <c r="D539" s="26"/>
      <c r="E539" s="26"/>
      <c r="F539" s="58"/>
    </row>
    <row r="540" spans="2:6">
      <c r="B540" s="42"/>
      <c r="D540" s="26"/>
      <c r="E540" s="26"/>
      <c r="F540" s="58"/>
    </row>
    <row r="541" spans="2:6">
      <c r="B541" s="42"/>
      <c r="D541" s="26"/>
      <c r="E541" s="26"/>
      <c r="F541" s="58"/>
    </row>
    <row r="542" spans="2:6">
      <c r="B542" s="42"/>
      <c r="D542" s="26"/>
      <c r="E542" s="26"/>
      <c r="F542" s="58"/>
    </row>
    <row r="543" spans="2:6">
      <c r="B543" s="42"/>
      <c r="D543" s="26"/>
      <c r="E543" s="26"/>
      <c r="F543" s="58"/>
    </row>
    <row r="544" spans="2:6">
      <c r="B544" s="42"/>
      <c r="D544" s="26"/>
      <c r="E544" s="26"/>
      <c r="F544" s="58"/>
    </row>
    <row r="545" spans="2:6">
      <c r="B545" s="42"/>
      <c r="D545" s="26"/>
      <c r="E545" s="26"/>
      <c r="F545" s="58"/>
    </row>
    <row r="546" spans="2:6">
      <c r="B546" s="42"/>
      <c r="D546" s="26"/>
      <c r="E546" s="26"/>
      <c r="F546" s="58"/>
    </row>
    <row r="547" spans="2:6">
      <c r="B547" s="42"/>
      <c r="D547" s="26"/>
      <c r="E547" s="26"/>
      <c r="F547" s="58"/>
    </row>
    <row r="548" spans="2:6">
      <c r="B548" s="42"/>
      <c r="D548" s="26"/>
      <c r="E548" s="26"/>
      <c r="F548" s="58"/>
    </row>
    <row r="549" spans="2:6">
      <c r="B549" s="42"/>
      <c r="D549" s="26"/>
      <c r="E549" s="26"/>
      <c r="F549" s="58"/>
    </row>
    <row r="550" spans="2:6">
      <c r="B550" s="42"/>
      <c r="D550" s="26"/>
      <c r="E550" s="26"/>
      <c r="F550" s="58"/>
    </row>
    <row r="551" spans="2:6">
      <c r="B551" s="42"/>
      <c r="D551" s="26"/>
      <c r="E551" s="26"/>
      <c r="F551" s="58"/>
    </row>
    <row r="552" spans="2:6">
      <c r="B552" s="42"/>
      <c r="D552" s="26"/>
      <c r="E552" s="26"/>
      <c r="F552" s="58"/>
    </row>
    <row r="553" spans="2:6">
      <c r="B553" s="42"/>
      <c r="D553" s="26"/>
      <c r="E553" s="26"/>
      <c r="F553" s="58"/>
    </row>
    <row r="554" spans="2:6">
      <c r="B554" s="42"/>
      <c r="D554" s="26"/>
      <c r="E554" s="26"/>
      <c r="F554" s="58"/>
    </row>
    <row r="555" spans="2:6">
      <c r="B555" s="42"/>
      <c r="D555" s="26"/>
      <c r="E555" s="26"/>
      <c r="F555" s="58"/>
    </row>
    <row r="556" spans="2:6">
      <c r="B556" s="42"/>
      <c r="D556" s="26"/>
      <c r="E556" s="26"/>
      <c r="F556" s="58"/>
    </row>
    <row r="557" spans="2:6">
      <c r="B557" s="42"/>
      <c r="D557" s="26"/>
      <c r="E557" s="26"/>
      <c r="F557" s="58"/>
    </row>
    <row r="558" spans="2:6">
      <c r="B558" s="42"/>
      <c r="D558" s="26"/>
      <c r="E558" s="26"/>
      <c r="F558" s="58"/>
    </row>
    <row r="559" spans="2:6">
      <c r="B559" s="42"/>
      <c r="D559" s="26"/>
      <c r="E559" s="26"/>
      <c r="F559" s="58"/>
    </row>
    <row r="560" spans="2:6">
      <c r="B560" s="42"/>
      <c r="D560" s="26"/>
      <c r="E560" s="26"/>
      <c r="F560" s="58"/>
    </row>
    <row r="561" spans="2:6">
      <c r="B561" s="42"/>
      <c r="D561" s="26"/>
      <c r="E561" s="26"/>
      <c r="F561" s="58"/>
    </row>
    <row r="562" spans="2:6">
      <c r="B562" s="42"/>
      <c r="D562" s="26"/>
      <c r="E562" s="26"/>
      <c r="F562" s="58"/>
    </row>
    <row r="563" spans="2:6">
      <c r="B563" s="42"/>
      <c r="D563" s="26"/>
      <c r="E563" s="26"/>
      <c r="F563" s="58"/>
    </row>
    <row r="564" spans="2:6">
      <c r="B564" s="42"/>
      <c r="D564" s="26"/>
      <c r="E564" s="26"/>
      <c r="F564" s="58"/>
    </row>
    <row r="565" spans="2:6">
      <c r="B565" s="42"/>
      <c r="D565" s="26"/>
      <c r="E565" s="26"/>
      <c r="F565" s="58"/>
    </row>
    <row r="566" spans="2:6">
      <c r="B566" s="42"/>
      <c r="D566" s="26"/>
      <c r="E566" s="26"/>
      <c r="F566" s="58"/>
    </row>
    <row r="567" spans="2:6">
      <c r="B567" s="42"/>
      <c r="D567" s="26"/>
      <c r="E567" s="26"/>
      <c r="F567" s="58"/>
    </row>
    <row r="568" spans="2:6">
      <c r="B568" s="42"/>
      <c r="D568" s="26"/>
      <c r="E568" s="26"/>
      <c r="F568" s="58"/>
    </row>
    <row r="569" spans="2:6">
      <c r="B569" s="42"/>
      <c r="D569" s="26"/>
      <c r="E569" s="26"/>
      <c r="F569" s="58"/>
    </row>
    <row r="570" spans="2:6">
      <c r="B570" s="42"/>
      <c r="D570" s="26"/>
      <c r="E570" s="26"/>
      <c r="F570" s="58"/>
    </row>
    <row r="571" spans="2:6">
      <c r="B571" s="42"/>
      <c r="D571" s="26"/>
      <c r="E571" s="26"/>
      <c r="F571" s="58"/>
    </row>
    <row r="572" spans="2:6">
      <c r="B572" s="42"/>
      <c r="D572" s="26"/>
      <c r="E572" s="26"/>
      <c r="F572" s="58"/>
    </row>
    <row r="573" spans="2:6">
      <c r="B573" s="42"/>
      <c r="D573" s="26"/>
      <c r="E573" s="26"/>
      <c r="F573" s="58"/>
    </row>
    <row r="574" spans="2:6">
      <c r="B574" s="42"/>
      <c r="D574" s="26"/>
      <c r="E574" s="26"/>
      <c r="F574" s="58"/>
    </row>
    <row r="575" spans="2:6">
      <c r="B575" s="42"/>
      <c r="D575" s="26"/>
      <c r="E575" s="26"/>
      <c r="F575" s="58"/>
    </row>
    <row r="576" spans="2:6">
      <c r="B576" s="42"/>
      <c r="D576" s="26"/>
      <c r="E576" s="26"/>
      <c r="F576" s="58"/>
    </row>
    <row r="577" spans="2:6">
      <c r="B577" s="42"/>
      <c r="D577" s="26"/>
      <c r="E577" s="26"/>
      <c r="F577" s="58"/>
    </row>
    <row r="578" spans="2:6">
      <c r="B578" s="42"/>
      <c r="D578" s="26"/>
      <c r="E578" s="26"/>
      <c r="F578" s="58"/>
    </row>
    <row r="579" spans="2:6">
      <c r="B579" s="42"/>
      <c r="D579" s="26"/>
      <c r="E579" s="26"/>
      <c r="F579" s="58"/>
    </row>
    <row r="580" spans="2:6">
      <c r="B580" s="42"/>
      <c r="D580" s="26"/>
      <c r="E580" s="26"/>
      <c r="F580" s="58"/>
    </row>
    <row r="581" spans="2:6">
      <c r="B581" s="42"/>
      <c r="D581" s="26"/>
      <c r="E581" s="26"/>
      <c r="F581" s="58"/>
    </row>
    <row r="582" spans="2:6">
      <c r="B582" s="42"/>
      <c r="D582" s="26"/>
      <c r="E582" s="26"/>
      <c r="F582" s="58"/>
    </row>
    <row r="583" spans="2:6">
      <c r="B583" s="47">
        <v>45658</v>
      </c>
      <c r="C583" s="45"/>
      <c r="D583" s="46"/>
      <c r="E583" s="46"/>
      <c r="F583" s="59"/>
    </row>
  </sheetData>
  <sheetProtection algorithmName="SHA-512" hashValue="ehbmHNozEW/eRlSzkLcYpnGHs8OpcaviWLifcmu8yDXDpC0l8qS4FAV4KElRrH5bzIZodGgDcTXj4ohsfTn07Q==" saltValue="gkV0W7beTeH+DY1zk0IOxw==" spinCount="100000" objects="1"/>
  <dataValidations count="3">
    <dataValidation type="list" allowBlank="1" showInputMessage="1" showErrorMessage="1" sqref="D8 D14:D259">
      <formula1>"Ingreso,Gasto"</formula1>
    </dataValidation>
    <dataValidation type="date" allowBlank="1" showInputMessage="1" showErrorMessage="1" errorTitle="Invalid Date" error="The date you entered is not valid. Please enter a valid date (e.g., 01/01/2000)." sqref="B14:B260 B8">
      <formula1>1</formula1>
      <formula2>219148</formula2>
    </dataValidation>
    <dataValidation type="date" allowBlank="1" showInputMessage="1" showErrorMessage="1" errorTitle="Invalid Date" error="The date you entered is not valid. Please enter a valid date (e.g., 01/01/2000)." sqref="B261:B1048576">
      <formula1>1</formula1>
      <formula2>401769</formula2>
    </dataValidation>
  </dataValidations>
  <pageMargins left="0.511811024" right="0.511811024" top="0.78740157499999996" bottom="0.78740157499999996" header="0.31496062000000002" footer="0.31496062000000002"/>
  <drawing r:id="rId2"/>
  <picture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'Lista de Categorías'!$C$5:$C$1048576</xm:f>
          </x14:formula1>
          <xm:sqref>E8 E14:E259</xm:sqref>
        </x14:dataValidation>
      </x14:dataValidations>
    </ex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dimension ref="B1:D24"/>
  <sheetViews>
    <sheetView zoomScale="175" zoomScaleNormal="175" workbookViewId="0"/>
  </sheetViews>
  <sheetFormatPr baseColWidth="10" defaultColWidth="9.1640625" defaultRowHeight="14"/>
  <cols>
    <col min="1" max="1" width="3.75" style="1" customWidth="1"/>
    <col min="2" max="2" width="1.83203125" style="5" customWidth="1"/>
    <col min="3" max="3" width="21.58203125" style="2" bestFit="1" customWidth="1"/>
    <col min="4" max="4" width="1.83203125" style="6" customWidth="1"/>
    <col min="5" max="16384" width="9.1640625" style="1"/>
  </cols>
  <sheetData>
    <row r="1" spans="2:4" ht="14.5" thickBot="1">
      <c r="B1" s="1"/>
      <c r="C1" s="49" t="s">
        <v>47</v>
      </c>
      <c r="D1" s="1"/>
    </row>
    <row r="2" spans="2:4">
      <c r="B2" s="3"/>
      <c r="C2" s="50"/>
      <c r="D2" s="4"/>
    </row>
    <row r="3" spans="2:4">
      <c r="C3" s="51"/>
    </row>
    <row r="4" spans="2:4">
      <c r="C4" s="32" t="s">
        <v>20</v>
      </c>
    </row>
    <row r="5" spans="2:4">
      <c r="C5" s="2" t="s">
        <v>33</v>
      </c>
    </row>
    <row r="6" spans="2:4">
      <c r="C6" s="2" t="s">
        <v>21</v>
      </c>
    </row>
    <row r="7" spans="2:4">
      <c r="C7" s="2" t="s">
        <v>28</v>
      </c>
    </row>
    <row r="8" spans="2:4">
      <c r="C8" s="2" t="s">
        <v>29</v>
      </c>
    </row>
    <row r="9" spans="2:4">
      <c r="C9" s="2" t="s">
        <v>30</v>
      </c>
    </row>
    <row r="10" spans="2:4">
      <c r="C10" s="2" t="s">
        <v>44</v>
      </c>
    </row>
    <row r="11" spans="2:4">
      <c r="C11" s="2" t="s">
        <v>31</v>
      </c>
    </row>
    <row r="12" spans="2:4">
      <c r="C12" s="2" t="s">
        <v>32</v>
      </c>
    </row>
    <row r="13" spans="2:4">
      <c r="C13" s="2" t="s">
        <v>34</v>
      </c>
    </row>
    <row r="14" spans="2:4">
      <c r="C14" s="2" t="s">
        <v>36</v>
      </c>
    </row>
    <row r="15" spans="2:4">
      <c r="C15" s="2" t="s">
        <v>37</v>
      </c>
    </row>
    <row r="16" spans="2:4">
      <c r="C16" s="2" t="s">
        <v>35</v>
      </c>
    </row>
    <row r="17" spans="3:3">
      <c r="C17" s="2" t="s">
        <v>38</v>
      </c>
    </row>
    <row r="18" spans="3:3">
      <c r="C18" s="2" t="s">
        <v>39</v>
      </c>
    </row>
    <row r="19" spans="3:3">
      <c r="C19" s="2" t="s">
        <v>40</v>
      </c>
    </row>
    <row r="20" spans="3:3">
      <c r="C20" s="2" t="s">
        <v>41</v>
      </c>
    </row>
    <row r="21" spans="3:3">
      <c r="C21" s="2" t="s">
        <v>42</v>
      </c>
    </row>
    <row r="22" spans="3:3">
      <c r="C22" s="2" t="s">
        <v>43</v>
      </c>
    </row>
    <row r="23" spans="3:3">
      <c r="C23" s="2" t="s">
        <v>45</v>
      </c>
    </row>
    <row r="24" spans="3:3">
      <c r="C24" s="2" t="s">
        <v>46</v>
      </c>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
  <dimension ref="A1:F4"/>
  <sheetViews>
    <sheetView workbookViewId="0">
      <selection activeCell="E4" sqref="E4"/>
    </sheetView>
  </sheetViews>
  <sheetFormatPr baseColWidth="10" defaultColWidth="9.1640625" defaultRowHeight="14"/>
  <cols>
    <col min="1" max="1" width="16.33203125" customWidth="1"/>
    <col min="2" max="2" width="15.58203125" customWidth="1"/>
    <col min="4" max="4" width="10.75" bestFit="1" customWidth="1"/>
    <col min="5" max="6" width="11.75" bestFit="1" customWidth="1"/>
  </cols>
  <sheetData>
    <row r="1" spans="1:6">
      <c r="D1" s="61" t="str">
        <f>IFERROR(E1-F1,"-")</f>
        <v>-</v>
      </c>
      <c r="E1" s="61" t="str">
        <f>IFERROR(GETPIVOTDATA("MONTO",$A$3,"TIPO","Ingreso"),"-")</f>
        <v>-</v>
      </c>
      <c r="F1" s="61" t="str">
        <f>IFERROR(GETPIVOTDATA("MONTO",$A$3,"TIPO","Gasto"),"-")</f>
        <v>-</v>
      </c>
    </row>
    <row r="3" spans="1:6">
      <c r="A3" s="35" t="s">
        <v>26</v>
      </c>
      <c r="B3" t="s">
        <v>24</v>
      </c>
    </row>
    <row r="4" spans="1:6">
      <c r="A4" s="36" t="s">
        <v>27</v>
      </c>
      <c r="B4" s="48"/>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
  <dimension ref="A3:B4"/>
  <sheetViews>
    <sheetView workbookViewId="0">
      <selection activeCell="B4" sqref="B4"/>
    </sheetView>
  </sheetViews>
  <sheetFormatPr baseColWidth="10" defaultColWidth="9.1640625" defaultRowHeight="14"/>
  <cols>
    <col min="1" max="1" width="16.33203125" customWidth="1"/>
    <col min="2" max="2" width="15.58203125" customWidth="1"/>
  </cols>
  <sheetData>
    <row r="3" spans="1:2">
      <c r="A3" s="35" t="s">
        <v>26</v>
      </c>
      <c r="B3" t="s">
        <v>24</v>
      </c>
    </row>
    <row r="4" spans="1:2">
      <c r="A4" s="36" t="s">
        <v>27</v>
      </c>
      <c r="B4" s="48"/>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Instrucciones y Términos de Uso</vt:lpstr>
      <vt:lpstr>Control de Finanzas</vt:lpstr>
      <vt:lpstr>Lista de Categorías</vt:lpstr>
      <vt:lpstr>Movimientos</vt:lpstr>
      <vt:lpstr>Categorías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Álvaro Salgado</dc:creator>
  <cp:lastModifiedBy>Guillermo Giraldo</cp:lastModifiedBy>
  <dcterms:created xsi:type="dcterms:W3CDTF">2024-06-04T20:40:54Z</dcterms:created>
  <dcterms:modified xsi:type="dcterms:W3CDTF">2026-09-09T13:37:05Z</dcterms:modified>
</cp:coreProperties>
</file>